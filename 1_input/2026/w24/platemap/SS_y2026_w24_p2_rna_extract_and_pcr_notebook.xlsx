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  <sheet state="visible" name="analyzing_qPCR" sheetId="4" r:id="rId8"/>
  </sheets>
  <definedNames/>
  <calcPr/>
</workbook>
</file>

<file path=xl/sharedStrings.xml><?xml version="1.0" encoding="utf-8"?>
<sst xmlns="http://schemas.openxmlformats.org/spreadsheetml/2006/main" count="209" uniqueCount="142">
  <si>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</si>
  <si>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</si>
  <si>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</si>
  <si>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</si>
  <si>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</si>
  <si>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</si>
  <si>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2024, week 28 plate 2: </t>
    </r>
    <r>
      <rPr>
        <rFont val="Arial"/>
        <b/>
        <i/>
        <color theme="1"/>
        <sz val="16.0"/>
      </rPr>
      <t>SS_y2024_w28_p2_rna_extract_and_pcr_notebook</t>
    </r>
  </si>
  <si>
    <t>take samples from the datasheet folder and use the platemap converter to get into platemap format</t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</si>
  <si>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</si>
  <si>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</si>
  <si>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</si>
  <si>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</si>
  <si>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</si>
  <si>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</si>
  <si>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</si>
  <si>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BOU-00340</t>
  </si>
  <si>
    <t>RMRP-000927</t>
  </si>
  <si>
    <t>RMRP-000935</t>
  </si>
  <si>
    <t>RMRP-000943</t>
  </si>
  <si>
    <t>wnv_std_1e6</t>
  </si>
  <si>
    <t>added in pcr*</t>
  </si>
  <si>
    <t>B</t>
  </si>
  <si>
    <t>BOU-00341</t>
  </si>
  <si>
    <t>RMRP-000928</t>
  </si>
  <si>
    <t>RMRP-000936</t>
  </si>
  <si>
    <t>wnv_std_1e4</t>
  </si>
  <si>
    <t>C</t>
  </si>
  <si>
    <t>BOU-00342</t>
  </si>
  <si>
    <t>RMRP-000929</t>
  </si>
  <si>
    <t>RMRP-000937</t>
  </si>
  <si>
    <t>wnv_std_1e2</t>
  </si>
  <si>
    <t>D</t>
  </si>
  <si>
    <t>BOU-00343</t>
  </si>
  <si>
    <t>RMRP-000930</t>
  </si>
  <si>
    <t>RMRP-000938</t>
  </si>
  <si>
    <t>slev_std_1e6</t>
  </si>
  <si>
    <t>E</t>
  </si>
  <si>
    <t>BOU-00344</t>
  </si>
  <si>
    <t>RMRP-000931</t>
  </si>
  <si>
    <t>RMRP-000939</t>
  </si>
  <si>
    <t>slev_std_1e4</t>
  </si>
  <si>
    <t>F</t>
  </si>
  <si>
    <t>RMRP-000924</t>
  </si>
  <si>
    <t>RMRP-000932</t>
  </si>
  <si>
    <t>RMRP-000940</t>
  </si>
  <si>
    <t>slev_std_1e2</t>
  </si>
  <si>
    <t>G</t>
  </si>
  <si>
    <t>RMRP-000925</t>
  </si>
  <si>
    <t>RMRP-000933</t>
  </si>
  <si>
    <t>RMRP-000941</t>
  </si>
  <si>
    <t>neg pcr ctrl</t>
  </si>
  <si>
    <t>H</t>
  </si>
  <si>
    <t>RMRP-000926</t>
  </si>
  <si>
    <t>RMRP-000934</t>
  </si>
  <si>
    <t>RMRP-000942</t>
  </si>
  <si>
    <t>neg extract ctl</t>
  </si>
  <si>
    <t xml:space="preserve"> pos extract ctl</t>
  </si>
  <si>
    <t>full protocol here -----------------------&gt;</t>
  </si>
  <si>
    <t>SS - RNA extraction</t>
  </si>
  <si>
    <t>YOUR NAME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</si>
  <si>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</si>
  <si>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</si>
  <si>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</si>
  <si>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</si>
  <si>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</si>
  <si>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Lot/ID</t>
  </si>
  <si>
    <t>ethanol added to VHB  (check mark on bottle)</t>
  </si>
  <si>
    <t>positve and negative extraction controls added</t>
  </si>
  <si>
    <t>Kingfisher</t>
  </si>
  <si>
    <t>NA</t>
  </si>
  <si>
    <t>beads at room temp</t>
  </si>
  <si>
    <t>TNA Lysis Buffer</t>
  </si>
  <si>
    <t>beads vortexed</t>
  </si>
  <si>
    <t>Isopropanol</t>
  </si>
  <si>
    <t>beads and proteanase K thoroughly mixed prior to dispensing</t>
  </si>
  <si>
    <t>Proteanase K</t>
  </si>
  <si>
    <t>maintenance plate run done prior to sample run</t>
  </si>
  <si>
    <t>linear acrylamide</t>
  </si>
  <si>
    <t>A1 of sample plate oriented to A1 in machine</t>
  </si>
  <si>
    <t>magbind beads</t>
  </si>
  <si>
    <t>Return tip plate to top of robot</t>
  </si>
  <si>
    <t>SPR</t>
  </si>
  <si>
    <t>VHB, SPR and SAMPLE Plates liquid in sink plates in gargabe</t>
  </si>
  <si>
    <t>VHB</t>
  </si>
  <si>
    <t>Elution plate sealed with microseal B and in freezer/fridge or immediately processed</t>
  </si>
  <si>
    <t>dfh20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</si>
  <si>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</si>
  <si>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</si>
  <si>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</si>
  <si>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</si>
  <si>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</si>
  <si>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</si>
  <si>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</si>
  <si>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</si>
  <si>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</si>
  <si>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</si>
  <si>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</si>
  <si>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</si>
  <si>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</si>
  <si>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</si>
  <si>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</si>
  <si>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</si>
  <si>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</si>
  <si>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</si>
  <si>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</si>
  <si>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</si>
  <si>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</si>
  <si>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</si>
  <si>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</si>
  <si>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</si>
  <si>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pos extract ctl</t>
  </si>
  <si>
    <t>Catherine</t>
  </si>
  <si>
    <t>SS - Multiplex qRT-PCR</t>
  </si>
  <si>
    <t>positive extraction control</t>
  </si>
  <si>
    <t>Mastermix</t>
  </si>
  <si>
    <t>neg pcr control added</t>
  </si>
  <si>
    <t>primer probe</t>
  </si>
  <si>
    <t>standards added</t>
  </si>
  <si>
    <t>RT enzyme</t>
  </si>
  <si>
    <t>Reagents put back in -4 C</t>
  </si>
  <si>
    <t>standards</t>
  </si>
  <si>
    <t>baseline threshold changed to 34000 and hit Analyze</t>
  </si>
  <si>
    <t>Export .xls file with named "SS-y####-w#-p#-pcr"</t>
  </si>
  <si>
    <t>non blank values in platemap</t>
  </si>
  <si>
    <t xml:space="preserve"> MM1 Reagent</t>
  </si>
  <si>
    <t>Primer probe</t>
  </si>
  <si>
    <t>RT</t>
  </si>
  <si>
    <t>QC and setting thresholds</t>
  </si>
  <si>
    <t>When the run is complete, eject the plate and throw it in the garbage.</t>
  </si>
  <si>
    <t>On the laptop, open the results tab, it will automatically show the ‘amplification plot’ which is a derived number. Change dropdown to multicomponent plot to see actual raw data and fluorescence increase over time.</t>
  </si>
  <si>
    <t xml:space="preserve">Note any samples that report a Ct but have no </t>
  </si>
  <si>
    <t>The software should now automatically set the threshold to 34000, but it can be updated manually:</t>
  </si>
  <si>
    <t>From ‘All Targets’ dropdown, select your target (SLEV or WNV)</t>
  </si>
  <si>
    <t>Click eye icon, unclick ‘auto’ next to threshold, and type in 34,000.</t>
  </si>
  <si>
    <t>Do the same thing for the other target (WNV or SLEV).</t>
  </si>
  <si>
    <t>Click “analyze” in the top right corner.</t>
  </si>
  <si>
    <t>Check that the negative controls have undetermined Ct values</t>
  </si>
  <si>
    <t>Check that the positive controls have low Ct values (typically around 20 ct)</t>
  </si>
  <si>
    <t>Check the standards to ensure that they highest copies have the highest ct values</t>
  </si>
  <si>
    <t>Plug in a USB to the laptop (need to unplug the mouse).</t>
  </si>
  <si>
    <t>Under the export tab, click browse, select USB (Ebel lab computer is not on the internet), click export.</t>
  </si>
  <si>
    <t>Close file, click save if prompted.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</si>
</sst>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rgb="FF999999"/>
      <name val="Arial"/>
      <scheme val="minor"/>
    </font>
    <font>
      <b/>
      <i/>
      <sz val="11.0"/>
      <color theme="1"/>
      <name val="Arial"/>
    </font>
    <font/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u/>
      <sz val="13.0"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2.0"/>
      <color theme="1"/>
      <name val="Aptos narrow"/>
    </font>
    <font>
      <u/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5" fillId="3" fontId="5" numFmtId="0" xfId="0" applyAlignment="1" applyBorder="1" applyFont="1">
      <alignment readingOrder="0" vertical="bottom"/>
    </xf>
    <xf borderId="5" fillId="3" fontId="5" numFmtId="0" xfId="0" applyAlignment="1" applyBorder="1" applyFont="1">
      <alignment vertical="bottom"/>
    </xf>
    <xf borderId="5" fillId="3" fontId="5" numFmtId="0" xfId="0" applyAlignment="1" applyBorder="1" applyFont="1">
      <alignment vertical="bottom"/>
    </xf>
    <xf borderId="5" fillId="3" fontId="3" numFmtId="0" xfId="0" applyBorder="1" applyFont="1"/>
    <xf borderId="6" fillId="0" fontId="6" numFmtId="0" xfId="0" applyBorder="1" applyFont="1"/>
    <xf borderId="7" fillId="0" fontId="7" numFmtId="0" xfId="0" applyAlignment="1" applyBorder="1" applyFont="1">
      <alignment horizontal="center" shrinkToFit="0" textRotation="90" vertical="bottom" wrapText="1"/>
    </xf>
    <xf borderId="8" fillId="0" fontId="8" numFmtId="0" xfId="0" applyBorder="1" applyFont="1"/>
    <xf borderId="9" fillId="0" fontId="8" numFmtId="0" xfId="0" applyBorder="1" applyFont="1"/>
    <xf borderId="6" fillId="0" fontId="6" numFmtId="0" xfId="0" applyAlignment="1" applyBorder="1" applyFont="1">
      <alignment readingOrder="0"/>
    </xf>
    <xf borderId="10" fillId="2" fontId="4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Font="1"/>
    <xf borderId="0" fillId="0" fontId="11" numFmtId="0" xfId="0" applyAlignment="1" applyFont="1">
      <alignment readingOrder="0"/>
    </xf>
    <xf borderId="11" fillId="0" fontId="12" numFmtId="0" xfId="0" applyAlignment="1" applyBorder="1" applyFont="1">
      <alignment horizontal="center" readingOrder="0"/>
    </xf>
    <xf borderId="12" fillId="0" fontId="8" numFmtId="0" xfId="0" applyBorder="1" applyFont="1"/>
    <xf borderId="12" fillId="3" fontId="3" numFmtId="0" xfId="0" applyBorder="1" applyFont="1"/>
    <xf borderId="13" fillId="4" fontId="13" numFmtId="0" xfId="0" applyAlignment="1" applyBorder="1" applyFill="1" applyFont="1">
      <alignment horizontal="center" readingOrder="0"/>
    </xf>
    <xf borderId="14" fillId="0" fontId="8" numFmtId="0" xfId="0" applyBorder="1" applyFont="1"/>
    <xf borderId="15" fillId="0" fontId="8" numFmtId="0" xfId="0" applyBorder="1" applyFont="1"/>
    <xf borderId="4" fillId="0" fontId="3" numFmtId="0" xfId="0" applyAlignment="1" applyBorder="1" applyFont="1">
      <alignment readingOrder="0"/>
    </xf>
    <xf borderId="16" fillId="0" fontId="8" numFmtId="0" xfId="0" applyBorder="1" applyFont="1"/>
    <xf borderId="17" fillId="3" fontId="3" numFmtId="0" xfId="0" applyAlignment="1" applyBorder="1" applyFont="1">
      <alignment readingOrder="0"/>
    </xf>
    <xf borderId="18" fillId="0" fontId="3" numFmtId="0" xfId="0" applyAlignment="1" applyBorder="1" applyFont="1">
      <alignment readingOrder="0"/>
    </xf>
    <xf borderId="19" fillId="0" fontId="8" numFmtId="0" xfId="0" applyBorder="1" applyFont="1"/>
    <xf borderId="20" fillId="0" fontId="8" numFmtId="0" xfId="0" applyBorder="1" applyFont="1"/>
    <xf borderId="6" fillId="3" fontId="3" numFmtId="0" xfId="0" applyAlignment="1" applyBorder="1" applyFont="1">
      <alignment readingOrder="0"/>
    </xf>
    <xf borderId="21" fillId="0" fontId="14" numFmtId="0" xfId="0" applyAlignment="1" applyBorder="1" applyFont="1">
      <alignment horizontal="center" vertical="bottom"/>
    </xf>
    <xf borderId="6" fillId="0" fontId="14" numFmtId="0" xfId="0" applyAlignment="1" applyBorder="1" applyFont="1">
      <alignment vertical="bottom"/>
    </xf>
    <xf borderId="21" fillId="0" fontId="5" numFmtId="0" xfId="0" applyAlignment="1" applyBorder="1" applyFont="1">
      <alignment vertical="bottom"/>
    </xf>
    <xf borderId="6" fillId="3" fontId="5" numFmtId="0" xfId="0" applyAlignment="1" applyBorder="1" applyFont="1">
      <alignment horizontal="center" readingOrder="0" vertical="bottom"/>
    </xf>
    <xf borderId="6" fillId="3" fontId="3" numFmtId="0" xfId="0" applyBorder="1" applyFont="1"/>
    <xf borderId="6" fillId="3" fontId="5" numFmtId="0" xfId="0" applyAlignment="1" applyBorder="1" applyFont="1">
      <alignment horizontal="center" vertical="bottom"/>
    </xf>
    <xf borderId="22" fillId="0" fontId="3" numFmtId="0" xfId="0" applyAlignment="1" applyBorder="1" applyFont="1">
      <alignment readingOrder="0"/>
    </xf>
    <xf borderId="23" fillId="0" fontId="8" numFmtId="0" xfId="0" applyBorder="1" applyFont="1"/>
    <xf borderId="24" fillId="0" fontId="8" numFmtId="0" xfId="0" applyBorder="1" applyFont="1"/>
    <xf borderId="17" fillId="3" fontId="3" numFmtId="0" xfId="0" applyBorder="1" applyFont="1"/>
    <xf borderId="25" fillId="0" fontId="5" numFmtId="0" xfId="0" applyAlignment="1" applyBorder="1" applyFont="1">
      <alignment readingOrder="0" vertical="bottom"/>
    </xf>
    <xf borderId="17" fillId="3" fontId="5" numFmtId="0" xfId="0" applyAlignment="1" applyBorder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26" fillId="4" fontId="15" numFmtId="0" xfId="0" applyAlignment="1" applyBorder="1" applyFont="1">
      <alignment horizontal="center" readingOrder="0" vertical="bottom"/>
    </xf>
    <xf borderId="1" fillId="4" fontId="13" numFmtId="0" xfId="0" applyAlignment="1" applyBorder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5" fillId="0" fontId="14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6" numFmtId="0" xfId="0" applyAlignment="1" applyBorder="1" applyFont="1">
      <alignment readingOrder="0" shrinkToFit="0" vertical="bottom" wrapText="1"/>
    </xf>
    <xf borderId="27" fillId="0" fontId="3" numFmtId="0" xfId="0" applyBorder="1" applyFont="1"/>
    <xf borderId="28" fillId="0" fontId="8" numFmtId="0" xfId="0" applyBorder="1" applyFont="1"/>
    <xf borderId="29" fillId="0" fontId="8" numFmtId="0" xfId="0" applyBorder="1" applyFont="1"/>
    <xf borderId="5" fillId="0" fontId="5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0" fillId="0" fontId="8" numFmtId="0" xfId="0" applyBorder="1" applyFont="1"/>
    <xf borderId="0" fillId="0" fontId="17" numFmtId="0" xfId="0" applyAlignment="1" applyFont="1">
      <alignment horizontal="center" shrinkToFit="0" vertical="bottom" wrapText="1"/>
    </xf>
    <xf borderId="0" fillId="0" fontId="18" numFmtId="0" xfId="0" applyAlignment="1" applyFont="1">
      <alignment readingOrder="0"/>
    </xf>
    <xf borderId="13" fillId="4" fontId="15" numFmtId="0" xfId="0" applyAlignment="1" applyBorder="1" applyFont="1">
      <alignment horizontal="center" readingOrder="0" vertical="bottom"/>
    </xf>
    <xf borderId="21" fillId="0" fontId="17" numFmtId="0" xfId="0" applyAlignment="1" applyBorder="1" applyFont="1">
      <alignment horizontal="center" readingOrder="0" shrinkToFit="0" vertical="bottom" wrapText="1"/>
    </xf>
    <xf borderId="5" fillId="0" fontId="17" numFmtId="0" xfId="0" applyAlignment="1" applyBorder="1" applyFont="1">
      <alignment horizontal="center" shrinkToFit="0" vertical="bottom" wrapText="1"/>
    </xf>
    <xf borderId="6" fillId="0" fontId="18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1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6" fillId="0" fontId="20" numFmtId="0" xfId="0" applyBorder="1" applyFont="1"/>
    <xf borderId="0" fillId="3" fontId="3" numFmtId="0" xfId="0" applyFont="1"/>
    <xf borderId="21" fillId="0" fontId="17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horizontal="center" readingOrder="0" shrinkToFit="0" vertical="bottom" wrapText="1"/>
    </xf>
    <xf borderId="4" fillId="0" fontId="5" numFmtId="0" xfId="0" applyAlignment="1" applyBorder="1" applyFont="1">
      <alignment readingOrder="0" vertical="bottom"/>
    </xf>
    <xf borderId="30" fillId="0" fontId="5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21" fillId="0" fontId="21" numFmtId="0" xfId="0" applyAlignment="1" applyBorder="1" applyFont="1">
      <alignment horizontal="center" readingOrder="0" shrinkToFit="0" vertical="bottom" wrapText="1"/>
    </xf>
    <xf borderId="5" fillId="0" fontId="21" numFmtId="0" xfId="0" applyAlignment="1" applyBorder="1" applyFont="1">
      <alignment horizontal="center" shrinkToFit="0" vertical="bottom" wrapText="1"/>
    </xf>
    <xf borderId="6" fillId="0" fontId="21" numFmtId="0" xfId="0" applyAlignment="1" applyBorder="1" applyFont="1">
      <alignment horizontal="center" readingOrder="0" shrinkToFit="0" vertical="bottom" wrapText="1"/>
    </xf>
    <xf borderId="21" fillId="0" fontId="22" numFmtId="0" xfId="0" applyAlignment="1" applyBorder="1" applyFont="1">
      <alignment horizontal="center" shrinkToFit="0" vertical="bottom" wrapText="1"/>
    </xf>
    <xf borderId="5" fillId="0" fontId="22" numFmtId="0" xfId="0" applyAlignment="1" applyBorder="1" applyFont="1">
      <alignment horizontal="center" readingOrder="0" shrinkToFit="0" vertical="bottom" wrapText="1"/>
    </xf>
    <xf borderId="0" fillId="3" fontId="3" numFmtId="0" xfId="0" applyAlignment="1" applyFont="1">
      <alignment readingOrder="0"/>
    </xf>
    <xf borderId="21" fillId="0" fontId="21" numFmtId="0" xfId="0" applyAlignment="1" applyBorder="1" applyFont="1">
      <alignment horizontal="center" shrinkToFit="0" vertical="bottom" wrapText="1"/>
    </xf>
    <xf borderId="5" fillId="0" fontId="21" numFmtId="0" xfId="0" applyAlignment="1" applyBorder="1" applyFont="1">
      <alignment horizontal="center" readingOrder="0" shrinkToFit="0" vertical="bottom" wrapText="1"/>
    </xf>
    <xf borderId="10" fillId="0" fontId="5" numFmtId="0" xfId="0" applyAlignment="1" applyBorder="1" applyFont="1">
      <alignment readingOrder="0" vertical="bottom"/>
    </xf>
    <xf borderId="31" fillId="0" fontId="5" numFmtId="0" xfId="0" applyAlignment="1" applyBorder="1" applyFont="1">
      <alignment readingOrder="0" vertical="bottom"/>
    </xf>
    <xf borderId="32" fillId="0" fontId="5" numFmtId="0" xfId="0" applyAlignment="1" applyBorder="1" applyFont="1">
      <alignment vertical="bottom"/>
    </xf>
    <xf borderId="10" fillId="0" fontId="3" numFmtId="0" xfId="0" applyAlignment="1" applyBorder="1" applyFont="1">
      <alignment readingOrder="0"/>
    </xf>
    <xf borderId="31" fillId="0" fontId="3" numFmtId="0" xfId="0" applyBorder="1" applyFont="1"/>
    <xf borderId="32" fillId="0" fontId="3" numFmtId="0" xfId="0" applyBorder="1" applyFont="1"/>
    <xf borderId="5" fillId="0" fontId="14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5" fillId="0" fontId="23" numFmtId="49" xfId="0" applyAlignment="1" applyBorder="1" applyFont="1" applyNumberFormat="1">
      <alignment readingOrder="0" vertical="bottom"/>
    </xf>
    <xf borderId="5" fillId="0" fontId="23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5" fillId="0" fontId="23" numFmtId="0" xfId="0" applyAlignment="1" applyBorder="1" applyFont="1">
      <alignment vertical="bottom"/>
    </xf>
    <xf borderId="7" fillId="3" fontId="3" numFmtId="0" xfId="0" applyAlignment="1" applyBorder="1" applyFont="1">
      <alignment readingOrder="0"/>
    </xf>
    <xf borderId="26" fillId="3" fontId="3" numFmtId="0" xfId="0" applyAlignment="1" applyBorder="1" applyFont="1">
      <alignment readingOrder="0"/>
    </xf>
    <xf borderId="12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24" numFmtId="0" xfId="0" applyAlignment="1" applyFont="1">
      <alignment readingOrder="0"/>
    </xf>
    <xf borderId="26" fillId="8" fontId="13" numFmtId="0" xfId="0" applyAlignment="1" applyBorder="1" applyFill="1" applyFont="1">
      <alignment horizontal="center" readingOrder="0"/>
    </xf>
    <xf borderId="0" fillId="0" fontId="13" numFmtId="0" xfId="0" applyAlignment="1" applyFont="1">
      <alignment horizontal="center" readingOrder="0"/>
    </xf>
    <xf borderId="13" fillId="8" fontId="13" numFmtId="0" xfId="0" applyAlignment="1" applyBorder="1" applyFont="1">
      <alignment horizontal="center" readingOrder="0"/>
    </xf>
    <xf borderId="18" fillId="0" fontId="5" numFmtId="0" xfId="0" applyAlignment="1" applyBorder="1" applyFont="1">
      <alignment readingOrder="0" vertical="bottom"/>
    </xf>
    <xf borderId="6" fillId="3" fontId="5" numFmtId="0" xfId="0" applyAlignment="1" applyBorder="1" applyFont="1">
      <alignment horizontal="center" readingOrder="0"/>
    </xf>
    <xf borderId="21" fillId="0" fontId="5" numFmtId="0" xfId="0" applyAlignment="1" applyBorder="1" applyFont="1">
      <alignment readingOrder="0" vertical="bottom"/>
    </xf>
    <xf borderId="6" fillId="3" fontId="5" numFmtId="49" xfId="0" applyAlignment="1" applyBorder="1" applyFont="1" applyNumberFormat="1">
      <alignment horizontal="center" vertical="bottom"/>
    </xf>
    <xf borderId="18" fillId="0" fontId="5" numFmtId="0" xfId="0" applyAlignment="1" applyBorder="1" applyFont="1">
      <alignment vertical="bottom"/>
    </xf>
    <xf borderId="6" fillId="3" fontId="5" numFmtId="49" xfId="0" applyAlignment="1" applyBorder="1" applyFont="1" applyNumberFormat="1">
      <alignment horizontal="center" readingOrder="0" vertical="bottom"/>
    </xf>
    <xf borderId="17" fillId="3" fontId="5" numFmtId="49" xfId="0" applyAlignment="1" applyBorder="1" applyFont="1" applyNumberFormat="1">
      <alignment horizontal="center" vertical="bottom"/>
    </xf>
    <xf borderId="17" fillId="3" fontId="5" numFmtId="49" xfId="0" applyAlignment="1" applyBorder="1" applyFont="1" applyNumberFormat="1">
      <alignment horizontal="center" readingOrder="0" vertical="bottom"/>
    </xf>
    <xf borderId="17" fillId="3" fontId="5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6" fillId="8" fontId="15" numFmtId="0" xfId="0" applyAlignment="1" applyBorder="1" applyFont="1">
      <alignment horizontal="center" readingOrder="0" vertical="bottom"/>
    </xf>
    <xf borderId="13" fillId="8" fontId="15" numFmtId="0" xfId="0" applyAlignment="1" applyBorder="1" applyFont="1">
      <alignment horizontal="center" readingOrder="0" vertical="bottom"/>
    </xf>
    <xf borderId="21" fillId="0" fontId="19" numFmtId="0" xfId="0" applyAlignment="1" applyBorder="1" applyFont="1">
      <alignment horizontal="center" readingOrder="0" shrinkToFit="0" vertical="bottom" wrapText="1"/>
    </xf>
    <xf borderId="5" fillId="0" fontId="19" numFmtId="4" xfId="0" applyAlignment="1" applyBorder="1" applyFont="1" applyNumberFormat="1">
      <alignment horizontal="center" readingOrder="0" shrinkToFit="0" vertical="bottom" wrapText="1"/>
    </xf>
    <xf borderId="5" fillId="0" fontId="17" numFmtId="4" xfId="0" applyAlignment="1" applyBorder="1" applyFont="1" applyNumberFormat="1">
      <alignment horizontal="center" readingOrder="0" shrinkToFit="0" vertical="bottom" wrapText="1"/>
    </xf>
    <xf borderId="0" fillId="0" fontId="21" numFmtId="0" xfId="0" applyAlignment="1" applyFont="1">
      <alignment horizontal="center" readingOrder="0" shrinkToFit="0" vertical="bottom" wrapText="1"/>
    </xf>
    <xf borderId="0" fillId="0" fontId="21" numFmtId="0" xfId="0" applyAlignment="1" applyFont="1">
      <alignment horizontal="center" shrinkToFit="0" vertical="bottom" wrapText="1"/>
    </xf>
    <xf borderId="0" fillId="0" fontId="22" numFmtId="0" xfId="0" applyAlignment="1" applyFont="1">
      <alignment horizontal="center" shrinkToFit="0" vertical="bottom" wrapText="1"/>
    </xf>
    <xf borderId="0" fillId="0" fontId="22" numFmtId="0" xfId="0" applyAlignment="1" applyFont="1">
      <alignment horizontal="center" readingOrder="0" shrinkToFit="0" vertical="bottom" wrapText="1"/>
    </xf>
    <xf borderId="0" fillId="0" fontId="20" numFmtId="0" xfId="0" applyFont="1"/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/>
      <c r="B4" s="2"/>
      <c r="C4" s="1" t="s">
        <v>7</v>
      </c>
    </row>
    <row r="5">
      <c r="A5" s="1">
        <v>3.0</v>
      </c>
      <c r="B5" s="2" t="s">
        <v>8</v>
      </c>
      <c r="C5" s="1" t="s">
        <v>9</v>
      </c>
    </row>
    <row r="6">
      <c r="A6" s="1">
        <v>4.0</v>
      </c>
      <c r="B6" s="2" t="s">
        <v>10</v>
      </c>
      <c r="C6" s="1" t="s">
        <v>11</v>
      </c>
    </row>
    <row r="7">
      <c r="A7" s="3"/>
      <c r="B7" s="3"/>
      <c r="C7" s="3"/>
    </row>
    <row r="8">
      <c r="B8" s="1" t="s">
        <v>12</v>
      </c>
      <c r="C8" s="4" t="s">
        <v>13</v>
      </c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  <row r="1002">
      <c r="A1002" s="5"/>
      <c r="B1002" s="5"/>
      <c r="C1002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14</v>
      </c>
      <c r="B2" s="10" t="s">
        <v>15</v>
      </c>
      <c r="C2" s="10" t="s">
        <v>16</v>
      </c>
      <c r="D2" s="10" t="s">
        <v>17</v>
      </c>
      <c r="E2" s="11" t="s">
        <v>18</v>
      </c>
      <c r="F2" s="12"/>
      <c r="G2" s="12"/>
      <c r="H2" s="13"/>
      <c r="I2" s="14"/>
      <c r="J2" s="14"/>
      <c r="K2" s="14"/>
      <c r="L2" s="14"/>
      <c r="M2" s="15" t="s">
        <v>19</v>
      </c>
      <c r="N2" s="16" t="s">
        <v>20</v>
      </c>
    </row>
    <row r="3">
      <c r="A3" s="9" t="s">
        <v>21</v>
      </c>
      <c r="B3" s="10" t="s">
        <v>22</v>
      </c>
      <c r="C3" s="10" t="s">
        <v>23</v>
      </c>
      <c r="D3" s="10" t="s">
        <v>24</v>
      </c>
      <c r="E3" s="11"/>
      <c r="F3" s="12"/>
      <c r="G3" s="12"/>
      <c r="H3" s="13"/>
      <c r="I3" s="14"/>
      <c r="J3" s="14"/>
      <c r="K3" s="14"/>
      <c r="L3" s="14"/>
      <c r="M3" s="15" t="s">
        <v>25</v>
      </c>
      <c r="N3" s="17"/>
    </row>
    <row r="4">
      <c r="A4" s="9" t="s">
        <v>26</v>
      </c>
      <c r="B4" s="10" t="s">
        <v>27</v>
      </c>
      <c r="C4" s="10" t="s">
        <v>28</v>
      </c>
      <c r="D4" s="10" t="s">
        <v>29</v>
      </c>
      <c r="E4" s="11"/>
      <c r="F4" s="12"/>
      <c r="G4" s="12"/>
      <c r="H4" s="13"/>
      <c r="I4" s="14"/>
      <c r="J4" s="14"/>
      <c r="K4" s="14"/>
      <c r="L4" s="14"/>
      <c r="M4" s="15" t="s">
        <v>30</v>
      </c>
      <c r="N4" s="17"/>
    </row>
    <row r="5">
      <c r="A5" s="9" t="s">
        <v>31</v>
      </c>
      <c r="B5" s="10" t="s">
        <v>32</v>
      </c>
      <c r="C5" s="10" t="s">
        <v>33</v>
      </c>
      <c r="D5" s="10" t="s">
        <v>34</v>
      </c>
      <c r="E5" s="11"/>
      <c r="F5" s="12"/>
      <c r="G5" s="12"/>
      <c r="H5" s="13"/>
      <c r="I5" s="14"/>
      <c r="J5" s="14"/>
      <c r="K5" s="14"/>
      <c r="L5" s="14"/>
      <c r="M5" s="15" t="s">
        <v>35</v>
      </c>
      <c r="N5" s="17"/>
    </row>
    <row r="6">
      <c r="A6" s="9" t="s">
        <v>36</v>
      </c>
      <c r="B6" s="10" t="s">
        <v>37</v>
      </c>
      <c r="C6" s="10" t="s">
        <v>38</v>
      </c>
      <c r="D6" s="10" t="s">
        <v>39</v>
      </c>
      <c r="E6" s="11"/>
      <c r="F6" s="12"/>
      <c r="G6" s="12"/>
      <c r="H6" s="13"/>
      <c r="I6" s="14"/>
      <c r="J6" s="14"/>
      <c r="K6" s="14"/>
      <c r="L6" s="14"/>
      <c r="M6" s="15" t="s">
        <v>40</v>
      </c>
      <c r="N6" s="17"/>
    </row>
    <row r="7">
      <c r="A7" s="9" t="s">
        <v>41</v>
      </c>
      <c r="B7" s="10" t="s">
        <v>42</v>
      </c>
      <c r="C7" s="10" t="s">
        <v>43</v>
      </c>
      <c r="D7" s="10" t="s">
        <v>44</v>
      </c>
      <c r="E7" s="11"/>
      <c r="F7" s="12"/>
      <c r="G7" s="12"/>
      <c r="H7" s="13"/>
      <c r="I7" s="14"/>
      <c r="J7" s="14"/>
      <c r="K7" s="14"/>
      <c r="L7" s="14"/>
      <c r="M7" s="15" t="s">
        <v>45</v>
      </c>
      <c r="N7" s="18"/>
    </row>
    <row r="8">
      <c r="A8" s="9" t="s">
        <v>46</v>
      </c>
      <c r="B8" s="10" t="s">
        <v>47</v>
      </c>
      <c r="C8" s="10" t="s">
        <v>48</v>
      </c>
      <c r="D8" s="10" t="s">
        <v>49</v>
      </c>
      <c r="E8" s="13"/>
      <c r="F8" s="12"/>
      <c r="G8" s="13"/>
      <c r="H8" s="13"/>
      <c r="I8" s="14"/>
      <c r="J8" s="14"/>
      <c r="K8" s="14"/>
      <c r="L8" s="14"/>
      <c r="M8" s="19" t="s">
        <v>50</v>
      </c>
    </row>
    <row r="9">
      <c r="A9" s="20" t="s">
        <v>51</v>
      </c>
      <c r="B9" s="10" t="s">
        <v>52</v>
      </c>
      <c r="C9" s="10" t="s">
        <v>53</v>
      </c>
      <c r="D9" s="10" t="s">
        <v>54</v>
      </c>
      <c r="E9" s="13"/>
      <c r="F9" s="12"/>
      <c r="G9" s="13"/>
      <c r="H9" s="13"/>
      <c r="I9" s="14"/>
      <c r="J9" s="14"/>
      <c r="K9" s="14"/>
      <c r="L9" s="10" t="s">
        <v>55</v>
      </c>
      <c r="M9" s="10" t="s">
        <v>56</v>
      </c>
    </row>
    <row r="11">
      <c r="F11" s="21" t="s">
        <v>57</v>
      </c>
      <c r="G11" s="22"/>
      <c r="H11" s="23" t="s">
        <v>58</v>
      </c>
    </row>
    <row r="12">
      <c r="A12" s="24" t="s">
        <v>59</v>
      </c>
      <c r="B12" s="25"/>
      <c r="C12" s="26"/>
      <c r="F12" s="27" t="s">
        <v>60</v>
      </c>
      <c r="G12" s="28"/>
      <c r="H12" s="28"/>
      <c r="I12" s="28"/>
      <c r="J12" s="29"/>
    </row>
    <row r="13">
      <c r="F13" s="30" t="s">
        <v>61</v>
      </c>
      <c r="I13" s="31"/>
      <c r="J13" s="32" t="b">
        <v>1</v>
      </c>
    </row>
    <row r="14">
      <c r="A14" s="27" t="s">
        <v>62</v>
      </c>
      <c r="B14" s="29"/>
      <c r="F14" s="33" t="s">
        <v>63</v>
      </c>
      <c r="G14" s="34"/>
      <c r="H14" s="34"/>
      <c r="I14" s="35"/>
      <c r="J14" s="36" t="b">
        <v>1</v>
      </c>
    </row>
    <row r="15">
      <c r="A15" s="37" t="s">
        <v>64</v>
      </c>
      <c r="B15" s="38" t="s">
        <v>65</v>
      </c>
      <c r="F15" s="33" t="s">
        <v>66</v>
      </c>
      <c r="G15" s="34"/>
      <c r="H15" s="34"/>
      <c r="I15" s="35"/>
      <c r="J15" s="36" t="b">
        <v>1</v>
      </c>
    </row>
    <row r="16">
      <c r="A16" s="39"/>
      <c r="B16" s="40"/>
      <c r="F16" s="33" t="s">
        <v>67</v>
      </c>
      <c r="G16" s="34"/>
      <c r="H16" s="34"/>
      <c r="I16" s="35"/>
      <c r="J16" s="41" t="b">
        <v>0</v>
      </c>
    </row>
    <row r="17">
      <c r="A17" s="39" t="s">
        <v>68</v>
      </c>
      <c r="B17" s="40" t="s">
        <v>69</v>
      </c>
      <c r="F17" s="33" t="s">
        <v>70</v>
      </c>
      <c r="G17" s="34"/>
      <c r="H17" s="34"/>
      <c r="I17" s="35"/>
      <c r="J17" s="41" t="b">
        <v>0</v>
      </c>
    </row>
    <row r="18">
      <c r="A18" s="39" t="s">
        <v>71</v>
      </c>
      <c r="B18" s="42"/>
      <c r="F18" s="33" t="s">
        <v>72</v>
      </c>
      <c r="G18" s="34"/>
      <c r="H18" s="34"/>
      <c r="I18" s="35"/>
      <c r="J18" s="41" t="b">
        <v>0</v>
      </c>
    </row>
    <row r="19">
      <c r="A19" s="39" t="s">
        <v>73</v>
      </c>
      <c r="B19" s="42"/>
      <c r="F19" s="33" t="s">
        <v>74</v>
      </c>
      <c r="G19" s="34"/>
      <c r="H19" s="34"/>
      <c r="I19" s="35"/>
      <c r="J19" s="41" t="b">
        <v>0</v>
      </c>
    </row>
    <row r="20">
      <c r="A20" s="39" t="s">
        <v>75</v>
      </c>
      <c r="B20" s="42"/>
      <c r="F20" s="33" t="s">
        <v>76</v>
      </c>
      <c r="G20" s="34"/>
      <c r="H20" s="34"/>
      <c r="I20" s="35"/>
      <c r="J20" s="41" t="b">
        <v>0</v>
      </c>
    </row>
    <row r="21">
      <c r="A21" s="39" t="s">
        <v>77</v>
      </c>
      <c r="B21" s="42"/>
      <c r="F21" s="33" t="s">
        <v>78</v>
      </c>
      <c r="G21" s="34"/>
      <c r="H21" s="34"/>
      <c r="I21" s="35"/>
      <c r="J21" s="41" t="b">
        <v>0</v>
      </c>
    </row>
    <row r="22">
      <c r="A22" s="39" t="s">
        <v>79</v>
      </c>
      <c r="B22" s="42"/>
      <c r="F22" s="33" t="s">
        <v>80</v>
      </c>
      <c r="G22" s="34"/>
      <c r="H22" s="34"/>
      <c r="I22" s="35"/>
      <c r="J22" s="41" t="b">
        <v>0</v>
      </c>
    </row>
    <row r="23">
      <c r="A23" s="39" t="s">
        <v>81</v>
      </c>
      <c r="B23" s="42"/>
      <c r="F23" s="33" t="s">
        <v>82</v>
      </c>
      <c r="G23" s="34"/>
      <c r="H23" s="34"/>
      <c r="I23" s="35"/>
      <c r="J23" s="41" t="b">
        <v>0</v>
      </c>
    </row>
    <row r="24">
      <c r="A24" s="39" t="s">
        <v>83</v>
      </c>
      <c r="B24" s="42"/>
      <c r="F24" s="43" t="s">
        <v>84</v>
      </c>
      <c r="G24" s="44"/>
      <c r="H24" s="44"/>
      <c r="I24" s="45"/>
      <c r="J24" s="46" t="b">
        <v>0</v>
      </c>
    </row>
    <row r="25">
      <c r="A25" s="47" t="s">
        <v>85</v>
      </c>
      <c r="B25" s="48"/>
    </row>
    <row r="26">
      <c r="A26" s="49"/>
      <c r="B26" s="50"/>
      <c r="C26" s="49"/>
    </row>
    <row r="28" ht="50.25" customHeight="1">
      <c r="A28" s="51" t="s">
        <v>86</v>
      </c>
      <c r="B28" s="34"/>
      <c r="C28" s="35"/>
      <c r="F28" s="52" t="s">
        <v>87</v>
      </c>
      <c r="G28" s="53"/>
      <c r="H28" s="53"/>
      <c r="I28" s="53"/>
      <c r="J28" s="53"/>
      <c r="K28" s="53"/>
      <c r="L28" s="53"/>
      <c r="M28" s="54"/>
    </row>
    <row r="29" ht="23.25" customHeight="1">
      <c r="A29" s="55" t="s">
        <v>88</v>
      </c>
      <c r="B29" s="56">
        <f>COUNTA($B$2:$L$9,$M$9)</f>
        <v>27</v>
      </c>
      <c r="C29" s="57" t="s">
        <v>89</v>
      </c>
      <c r="F29" s="58"/>
      <c r="G29" s="59"/>
      <c r="H29" s="59"/>
      <c r="I29" s="59"/>
      <c r="J29" s="59"/>
      <c r="K29" s="59"/>
      <c r="L29" s="59"/>
      <c r="M29" s="60"/>
    </row>
    <row r="30">
      <c r="A30" s="55" t="s">
        <v>90</v>
      </c>
      <c r="B30" s="61">
        <v>1.2</v>
      </c>
      <c r="C30" s="57" t="s">
        <v>91</v>
      </c>
      <c r="F30" s="62"/>
      <c r="M30" s="63"/>
    </row>
    <row r="31">
      <c r="A31" s="64"/>
      <c r="B31" s="64"/>
      <c r="C31" s="65"/>
      <c r="F31" s="62"/>
      <c r="M31" s="63"/>
    </row>
    <row r="32">
      <c r="A32" s="66" t="s">
        <v>92</v>
      </c>
      <c r="B32" s="28"/>
      <c r="C32" s="29"/>
      <c r="F32" s="62"/>
      <c r="M32" s="63"/>
    </row>
    <row r="33">
      <c r="A33" s="67" t="s">
        <v>93</v>
      </c>
      <c r="B33" s="68" t="s">
        <v>94</v>
      </c>
      <c r="C33" s="69" t="s">
        <v>95</v>
      </c>
      <c r="D33" s="70" t="s">
        <v>96</v>
      </c>
      <c r="F33" s="62"/>
      <c r="M33" s="63"/>
    </row>
    <row r="34">
      <c r="A34" s="71" t="s">
        <v>97</v>
      </c>
      <c r="B34" s="72">
        <v>60.0</v>
      </c>
      <c r="C34" s="73">
        <f t="shared" ref="C34:C37" si="1">B34*$B$29*$B$30</f>
        <v>1944</v>
      </c>
      <c r="D34" s="74" t="b">
        <v>0</v>
      </c>
      <c r="F34" s="62"/>
      <c r="M34" s="63"/>
    </row>
    <row r="35">
      <c r="A35" s="71" t="s">
        <v>77</v>
      </c>
      <c r="B35" s="72">
        <v>1.0</v>
      </c>
      <c r="C35" s="73">
        <f t="shared" si="1"/>
        <v>32.4</v>
      </c>
      <c r="D35" s="74" t="b">
        <v>0</v>
      </c>
      <c r="F35" s="62"/>
      <c r="M35" s="63"/>
    </row>
    <row r="36">
      <c r="A36" s="71" t="s">
        <v>98</v>
      </c>
      <c r="B36" s="72">
        <v>70.0</v>
      </c>
      <c r="C36" s="73">
        <f t="shared" si="1"/>
        <v>2268</v>
      </c>
      <c r="D36" s="74" t="b">
        <v>0</v>
      </c>
      <c r="F36" s="62"/>
      <c r="M36" s="63"/>
    </row>
    <row r="37">
      <c r="A37" s="75" t="s">
        <v>99</v>
      </c>
      <c r="B37" s="76">
        <f>sum(B34:B36)</f>
        <v>131</v>
      </c>
      <c r="C37" s="73">
        <f t="shared" si="1"/>
        <v>4244.4</v>
      </c>
      <c r="F37" s="62"/>
      <c r="M37" s="63"/>
    </row>
    <row r="38">
      <c r="A38" s="77" t="s">
        <v>100</v>
      </c>
      <c r="B38" s="50">
        <v>8.0</v>
      </c>
      <c r="C38" s="78">
        <f>C37/B38</f>
        <v>530.55</v>
      </c>
      <c r="F38" s="62"/>
      <c r="M38" s="63"/>
    </row>
    <row r="39">
      <c r="A39" s="79"/>
      <c r="B39" s="49"/>
      <c r="C39" s="78"/>
      <c r="F39" s="62"/>
      <c r="M39" s="63"/>
    </row>
    <row r="40">
      <c r="A40" s="80" t="s">
        <v>101</v>
      </c>
      <c r="B40" s="81" t="s">
        <v>94</v>
      </c>
      <c r="C40" s="82" t="s">
        <v>95</v>
      </c>
      <c r="F40" s="62"/>
      <c r="M40" s="63"/>
    </row>
    <row r="41">
      <c r="A41" s="83" t="s">
        <v>102</v>
      </c>
      <c r="B41" s="84">
        <v>5.0</v>
      </c>
      <c r="C41" s="73">
        <f t="shared" ref="C41:C43" si="2">B41*$B$29*$B$30</f>
        <v>162</v>
      </c>
      <c r="D41" s="85" t="b">
        <v>0</v>
      </c>
      <c r="F41" s="62"/>
      <c r="M41" s="63"/>
    </row>
    <row r="42">
      <c r="A42" s="83" t="s">
        <v>103</v>
      </c>
      <c r="B42" s="84">
        <v>5.0</v>
      </c>
      <c r="C42" s="73">
        <f t="shared" si="2"/>
        <v>162</v>
      </c>
      <c r="D42" s="74" t="b">
        <v>0</v>
      </c>
      <c r="F42" s="62"/>
      <c r="M42" s="63"/>
    </row>
    <row r="43">
      <c r="A43" s="86" t="s">
        <v>99</v>
      </c>
      <c r="B43" s="87">
        <f>sum(B41:B42)</f>
        <v>10</v>
      </c>
      <c r="C43" s="73">
        <f t="shared" si="2"/>
        <v>324</v>
      </c>
      <c r="D43" s="74" t="b">
        <v>0</v>
      </c>
      <c r="F43" s="62"/>
      <c r="M43" s="63"/>
    </row>
    <row r="44">
      <c r="A44" s="88" t="s">
        <v>100</v>
      </c>
      <c r="B44" s="89">
        <v>8.0</v>
      </c>
      <c r="C44" s="90">
        <f>C43/B44</f>
        <v>40.5</v>
      </c>
      <c r="F44" s="62"/>
      <c r="M44" s="63"/>
    </row>
    <row r="45">
      <c r="F45" s="91" t="s">
        <v>104</v>
      </c>
      <c r="G45" s="92"/>
      <c r="H45" s="92"/>
      <c r="I45" s="92"/>
      <c r="J45" s="92"/>
      <c r="K45" s="92"/>
      <c r="L45" s="92"/>
      <c r="M45" s="93"/>
    </row>
    <row r="46">
      <c r="A46" s="94" t="s">
        <v>105</v>
      </c>
      <c r="B46" s="94" t="s">
        <v>106</v>
      </c>
      <c r="C46" s="94" t="s">
        <v>107</v>
      </c>
    </row>
    <row r="47">
      <c r="A47" s="95" t="s">
        <v>108</v>
      </c>
      <c r="B47" s="96">
        <v>200.0</v>
      </c>
      <c r="C47" s="97">
        <f>2*B47*$B$29*$B$30</f>
        <v>12960</v>
      </c>
      <c r="D47" s="74" t="b">
        <v>0</v>
      </c>
    </row>
    <row r="48">
      <c r="A48" s="95" t="s">
        <v>83</v>
      </c>
      <c r="B48" s="96">
        <v>200.0</v>
      </c>
      <c r="C48" s="97">
        <f t="shared" ref="C48:C49" si="3">B48*$B$29*$B$30</f>
        <v>6480</v>
      </c>
      <c r="D48" s="74" t="b">
        <v>0</v>
      </c>
    </row>
    <row r="49">
      <c r="A49" s="98" t="s">
        <v>109</v>
      </c>
      <c r="B49" s="97">
        <v>50.0</v>
      </c>
      <c r="C49" s="97">
        <f t="shared" si="3"/>
        <v>1620</v>
      </c>
      <c r="D49" s="74" t="b">
        <v>0</v>
      </c>
    </row>
  </sheetData>
  <mergeCells count="36">
    <mergeCell ref="N2:N7"/>
    <mergeCell ref="H11:J11"/>
    <mergeCell ref="A12:B12"/>
    <mergeCell ref="F12:J12"/>
    <mergeCell ref="F13:I13"/>
    <mergeCell ref="A14:B14"/>
    <mergeCell ref="F14:I14"/>
    <mergeCell ref="F15:I15"/>
    <mergeCell ref="F16:I16"/>
    <mergeCell ref="F17:I17"/>
    <mergeCell ref="F18:I18"/>
    <mergeCell ref="F19:I19"/>
    <mergeCell ref="F20:I20"/>
    <mergeCell ref="F21:I21"/>
    <mergeCell ref="A28:C28"/>
    <mergeCell ref="A32:C32"/>
    <mergeCell ref="F22:I22"/>
    <mergeCell ref="F23:I23"/>
    <mergeCell ref="F24:I24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hyperlinks>
    <hyperlink r:id="rId1" ref="H11"/>
  </hyperlinks>
  <printOptions gridLines="1" horizontalCentered="1"/>
  <pageMargins bottom="0.75" footer="0.0" header="0.0" left="0.7" right="0.7" top="0.75"/>
  <pageSetup scale="5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3.63"/>
    <col customWidth="1" min="4" max="4" width="14.25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14</v>
      </c>
      <c r="B2" s="99" t="s">
        <v>15</v>
      </c>
      <c r="C2" s="99" t="s">
        <v>16</v>
      </c>
      <c r="D2" s="100" t="s">
        <v>17</v>
      </c>
      <c r="E2" s="100" t="s">
        <v>18</v>
      </c>
      <c r="F2" s="12"/>
      <c r="G2" s="12"/>
      <c r="H2" s="12"/>
      <c r="I2" s="10"/>
      <c r="J2" s="10"/>
      <c r="K2" s="10"/>
      <c r="L2" s="10"/>
      <c r="M2" s="101" t="s">
        <v>19</v>
      </c>
    </row>
    <row r="3">
      <c r="A3" s="9" t="s">
        <v>21</v>
      </c>
      <c r="B3" s="99" t="s">
        <v>22</v>
      </c>
      <c r="C3" s="99" t="s">
        <v>23</v>
      </c>
      <c r="D3" s="100" t="s">
        <v>24</v>
      </c>
      <c r="E3" s="100"/>
      <c r="F3" s="12"/>
      <c r="G3" s="12"/>
      <c r="H3" s="12"/>
      <c r="I3" s="10"/>
      <c r="J3" s="10"/>
      <c r="K3" s="10"/>
      <c r="L3" s="10"/>
      <c r="M3" s="102" t="s">
        <v>25</v>
      </c>
    </row>
    <row r="4">
      <c r="A4" s="9" t="s">
        <v>26</v>
      </c>
      <c r="B4" s="99" t="s">
        <v>27</v>
      </c>
      <c r="C4" s="100" t="s">
        <v>28</v>
      </c>
      <c r="D4" s="100" t="s">
        <v>29</v>
      </c>
      <c r="E4" s="100"/>
      <c r="F4" s="12"/>
      <c r="G4" s="12"/>
      <c r="H4" s="12"/>
      <c r="I4" s="10"/>
      <c r="J4" s="10"/>
      <c r="K4" s="10"/>
      <c r="L4" s="10"/>
      <c r="M4" s="103" t="s">
        <v>30</v>
      </c>
    </row>
    <row r="5">
      <c r="A5" s="9" t="s">
        <v>31</v>
      </c>
      <c r="B5" s="99" t="s">
        <v>32</v>
      </c>
      <c r="C5" s="100" t="s">
        <v>33</v>
      </c>
      <c r="D5" s="100" t="s">
        <v>34</v>
      </c>
      <c r="E5" s="100"/>
      <c r="F5" s="12"/>
      <c r="G5" s="12"/>
      <c r="H5" s="12"/>
      <c r="I5" s="10"/>
      <c r="J5" s="10"/>
      <c r="K5" s="10"/>
      <c r="L5" s="10"/>
      <c r="M5" s="101" t="s">
        <v>35</v>
      </c>
    </row>
    <row r="6">
      <c r="A6" s="9" t="s">
        <v>36</v>
      </c>
      <c r="B6" s="99" t="s">
        <v>37</v>
      </c>
      <c r="C6" s="100" t="s">
        <v>38</v>
      </c>
      <c r="D6" s="100" t="s">
        <v>39</v>
      </c>
      <c r="E6" s="100"/>
      <c r="F6" s="12"/>
      <c r="G6" s="12"/>
      <c r="H6" s="12"/>
      <c r="I6" s="10"/>
      <c r="J6" s="10"/>
      <c r="K6" s="10"/>
      <c r="L6" s="10"/>
      <c r="M6" s="102" t="s">
        <v>40</v>
      </c>
    </row>
    <row r="7">
      <c r="A7" s="9" t="s">
        <v>41</v>
      </c>
      <c r="B7" s="99" t="s">
        <v>42</v>
      </c>
      <c r="C7" s="100" t="s">
        <v>43</v>
      </c>
      <c r="D7" s="100" t="s">
        <v>44</v>
      </c>
      <c r="E7" s="100"/>
      <c r="F7" s="12"/>
      <c r="G7" s="12"/>
      <c r="H7" s="12"/>
      <c r="I7" s="10"/>
      <c r="J7" s="10"/>
      <c r="K7" s="10"/>
      <c r="L7" s="10"/>
      <c r="M7" s="103" t="s">
        <v>45</v>
      </c>
    </row>
    <row r="8">
      <c r="A8" s="9" t="s">
        <v>46</v>
      </c>
      <c r="B8" s="99" t="s">
        <v>47</v>
      </c>
      <c r="C8" s="100" t="s">
        <v>48</v>
      </c>
      <c r="D8" s="100" t="s">
        <v>49</v>
      </c>
      <c r="E8" s="104"/>
      <c r="F8" s="12"/>
      <c r="G8" s="13"/>
      <c r="H8" s="12"/>
      <c r="I8" s="10"/>
      <c r="J8" s="10"/>
      <c r="K8" s="10"/>
      <c r="L8" s="10"/>
      <c r="M8" s="105" t="s">
        <v>50</v>
      </c>
    </row>
    <row r="9">
      <c r="A9" s="20" t="s">
        <v>51</v>
      </c>
      <c r="B9" s="99" t="s">
        <v>52</v>
      </c>
      <c r="C9" s="100" t="s">
        <v>53</v>
      </c>
      <c r="D9" s="100" t="s">
        <v>54</v>
      </c>
      <c r="E9" s="104"/>
      <c r="F9" s="12"/>
      <c r="G9" s="13"/>
      <c r="H9" s="12"/>
      <c r="I9" s="10"/>
      <c r="J9" s="10"/>
      <c r="K9" s="10"/>
      <c r="L9" s="106" t="s">
        <v>55</v>
      </c>
      <c r="M9" s="10" t="s">
        <v>110</v>
      </c>
    </row>
    <row r="11">
      <c r="A11" s="24" t="s">
        <v>59</v>
      </c>
      <c r="B11" s="25"/>
      <c r="C11" s="107" t="s">
        <v>111</v>
      </c>
    </row>
    <row r="13">
      <c r="E13" s="108" t="s">
        <v>57</v>
      </c>
      <c r="G13" s="109" t="s">
        <v>112</v>
      </c>
    </row>
    <row r="14">
      <c r="A14" s="110" t="s">
        <v>62</v>
      </c>
      <c r="B14" s="35"/>
      <c r="C14" s="111"/>
      <c r="E14" s="112" t="s">
        <v>60</v>
      </c>
      <c r="F14" s="28"/>
      <c r="G14" s="28"/>
      <c r="H14" s="28"/>
      <c r="I14" s="29"/>
    </row>
    <row r="15">
      <c r="A15" s="37" t="s">
        <v>64</v>
      </c>
      <c r="B15" s="38" t="s">
        <v>65</v>
      </c>
      <c r="E15" s="113" t="s">
        <v>113</v>
      </c>
      <c r="F15" s="34"/>
      <c r="G15" s="34"/>
      <c r="H15" s="35"/>
      <c r="I15" s="114" t="b">
        <v>0</v>
      </c>
    </row>
    <row r="16">
      <c r="A16" s="115" t="s">
        <v>114</v>
      </c>
      <c r="B16" s="116"/>
      <c r="E16" s="117" t="s">
        <v>115</v>
      </c>
      <c r="F16" s="34"/>
      <c r="G16" s="34"/>
      <c r="H16" s="35"/>
      <c r="I16" s="114" t="b">
        <v>0</v>
      </c>
    </row>
    <row r="17">
      <c r="A17" s="115" t="s">
        <v>116</v>
      </c>
      <c r="B17" s="118" t="s">
        <v>69</v>
      </c>
      <c r="E17" s="117" t="s">
        <v>117</v>
      </c>
      <c r="F17" s="34"/>
      <c r="G17" s="34"/>
      <c r="H17" s="35"/>
      <c r="I17" s="114" t="b">
        <v>0</v>
      </c>
    </row>
    <row r="18">
      <c r="A18" s="47" t="s">
        <v>118</v>
      </c>
      <c r="B18" s="119"/>
      <c r="E18" s="117" t="s">
        <v>119</v>
      </c>
      <c r="F18" s="34"/>
      <c r="G18" s="34"/>
      <c r="H18" s="35"/>
      <c r="I18" s="114" t="b">
        <v>0</v>
      </c>
    </row>
    <row r="19">
      <c r="A19" s="47" t="s">
        <v>120</v>
      </c>
      <c r="B19" s="120" t="s">
        <v>69</v>
      </c>
      <c r="E19" s="117" t="s">
        <v>121</v>
      </c>
      <c r="F19" s="34"/>
      <c r="G19" s="34"/>
      <c r="H19" s="35"/>
      <c r="I19" s="114" t="b">
        <v>0</v>
      </c>
    </row>
    <row r="20">
      <c r="E20" s="113" t="s">
        <v>122</v>
      </c>
      <c r="F20" s="34"/>
      <c r="G20" s="34"/>
      <c r="H20" s="35"/>
      <c r="I20" s="121" t="b">
        <v>0</v>
      </c>
    </row>
    <row r="21">
      <c r="A21" s="49"/>
      <c r="B21" s="49"/>
      <c r="C21" s="49"/>
      <c r="E21" s="122"/>
      <c r="F21" s="122"/>
      <c r="G21" s="122"/>
      <c r="H21" s="122"/>
    </row>
    <row r="22">
      <c r="A22" s="49"/>
      <c r="B22" s="49"/>
      <c r="C22" s="49"/>
      <c r="E22" s="122"/>
      <c r="F22" s="122"/>
      <c r="G22" s="122"/>
      <c r="H22" s="122"/>
    </row>
    <row r="23">
      <c r="A23" s="49"/>
      <c r="B23" s="49"/>
      <c r="C23" s="49"/>
      <c r="E23" s="122"/>
      <c r="F23" s="122"/>
      <c r="G23" s="122"/>
      <c r="H23" s="122"/>
    </row>
    <row r="24">
      <c r="A24" s="49"/>
      <c r="B24" s="49"/>
      <c r="C24" s="49"/>
      <c r="E24" s="122"/>
    </row>
    <row r="25">
      <c r="A25" s="123" t="s">
        <v>86</v>
      </c>
      <c r="B25" s="34"/>
      <c r="C25" s="35"/>
      <c r="E25" s="52" t="s">
        <v>87</v>
      </c>
      <c r="F25" s="53"/>
      <c r="G25" s="53"/>
      <c r="H25" s="53"/>
      <c r="I25" s="53"/>
      <c r="J25" s="53"/>
      <c r="K25" s="53"/>
      <c r="L25" s="54"/>
    </row>
    <row r="26" ht="42.75" customHeight="1">
      <c r="A26" s="55" t="s">
        <v>88</v>
      </c>
      <c r="B26" s="56">
        <f>COUNTA($B$2:$M$9)</f>
        <v>34</v>
      </c>
      <c r="C26" s="57" t="s">
        <v>123</v>
      </c>
      <c r="E26" s="58"/>
      <c r="F26" s="59"/>
      <c r="G26" s="59"/>
      <c r="H26" s="59"/>
      <c r="I26" s="59"/>
      <c r="J26" s="59"/>
      <c r="K26" s="59"/>
      <c r="L26" s="60"/>
    </row>
    <row r="27" ht="59.25" customHeight="1">
      <c r="A27" s="55" t="s">
        <v>90</v>
      </c>
      <c r="B27" s="61">
        <v>1.2</v>
      </c>
      <c r="C27" s="57" t="s">
        <v>91</v>
      </c>
      <c r="E27" s="62"/>
      <c r="L27" s="63"/>
    </row>
    <row r="28">
      <c r="E28" s="62"/>
      <c r="L28" s="63"/>
    </row>
    <row r="29">
      <c r="E29" s="62"/>
      <c r="L29" s="63"/>
    </row>
    <row r="30">
      <c r="A30" s="124" t="s">
        <v>92</v>
      </c>
      <c r="B30" s="28"/>
      <c r="C30" s="29"/>
      <c r="E30" s="62"/>
      <c r="L30" s="63"/>
    </row>
    <row r="31">
      <c r="A31" s="67" t="s">
        <v>124</v>
      </c>
      <c r="B31" s="68" t="s">
        <v>94</v>
      </c>
      <c r="C31" s="69" t="s">
        <v>95</v>
      </c>
      <c r="E31" s="62"/>
      <c r="L31" s="63"/>
    </row>
    <row r="32">
      <c r="A32" s="125" t="s">
        <v>114</v>
      </c>
      <c r="B32" s="126">
        <v>10.0</v>
      </c>
      <c r="C32" s="73">
        <f t="shared" ref="C32:C34" si="1">B32*$B$26*$B$27</f>
        <v>408</v>
      </c>
      <c r="E32" s="62"/>
      <c r="L32" s="63"/>
    </row>
    <row r="33">
      <c r="A33" s="125" t="s">
        <v>125</v>
      </c>
      <c r="B33" s="126">
        <v>4.0</v>
      </c>
      <c r="C33" s="73">
        <f t="shared" si="1"/>
        <v>163.2</v>
      </c>
      <c r="E33" s="62"/>
      <c r="L33" s="63"/>
    </row>
    <row r="34">
      <c r="A34" s="125" t="s">
        <v>126</v>
      </c>
      <c r="B34" s="126">
        <v>1.0</v>
      </c>
      <c r="C34" s="73">
        <f t="shared" si="1"/>
        <v>40.8</v>
      </c>
      <c r="E34" s="62"/>
      <c r="L34" s="63"/>
    </row>
    <row r="35">
      <c r="A35" s="75" t="s">
        <v>99</v>
      </c>
      <c r="B35" s="127">
        <f t="shared" ref="B35:C35" si="2">sum(B32:B34)</f>
        <v>15</v>
      </c>
      <c r="C35" s="73">
        <f t="shared" si="2"/>
        <v>612</v>
      </c>
      <c r="E35" s="62"/>
      <c r="L35" s="63"/>
    </row>
    <row r="36">
      <c r="A36" s="88" t="s">
        <v>100</v>
      </c>
      <c r="B36" s="89">
        <v>8.0</v>
      </c>
      <c r="C36" s="90">
        <f>C35/B36</f>
        <v>76.5</v>
      </c>
      <c r="E36" s="62"/>
      <c r="L36" s="63"/>
    </row>
    <row r="37">
      <c r="E37" s="62"/>
      <c r="L37" s="63"/>
    </row>
    <row r="38">
      <c r="E38" s="62"/>
      <c r="L38" s="63"/>
    </row>
    <row r="39">
      <c r="E39" s="62"/>
      <c r="L39" s="63"/>
    </row>
    <row r="40">
      <c r="E40" s="62"/>
      <c r="L40" s="63"/>
    </row>
    <row r="41">
      <c r="E41" s="62"/>
      <c r="L41" s="63"/>
    </row>
    <row r="42">
      <c r="A42" s="49"/>
      <c r="B42" s="49"/>
      <c r="C42" s="49"/>
      <c r="E42" s="91" t="s">
        <v>104</v>
      </c>
      <c r="F42" s="92"/>
      <c r="G42" s="92"/>
      <c r="H42" s="92"/>
      <c r="I42" s="92"/>
      <c r="J42" s="92"/>
      <c r="K42" s="92"/>
      <c r="L42" s="93"/>
    </row>
    <row r="43">
      <c r="A43" s="49"/>
      <c r="B43" s="49"/>
      <c r="C43" s="49"/>
    </row>
    <row r="44">
      <c r="A44" s="128"/>
      <c r="B44" s="129"/>
      <c r="C44" s="128"/>
    </row>
    <row r="45">
      <c r="A45" s="130"/>
      <c r="B45" s="131"/>
      <c r="C45" s="132"/>
    </row>
    <row r="46">
      <c r="A46" s="130"/>
      <c r="B46" s="131"/>
      <c r="C46" s="132"/>
    </row>
    <row r="47">
      <c r="A47" s="129"/>
      <c r="B47" s="128"/>
      <c r="C47" s="132"/>
    </row>
    <row r="48">
      <c r="A48" s="49"/>
      <c r="B48" s="49"/>
      <c r="C48" s="49"/>
    </row>
  </sheetData>
  <mergeCells count="29">
    <mergeCell ref="A11:B11"/>
    <mergeCell ref="A14:B14"/>
    <mergeCell ref="E14:I14"/>
    <mergeCell ref="E15:H15"/>
    <mergeCell ref="E16:H16"/>
    <mergeCell ref="E17:H17"/>
    <mergeCell ref="E18:H18"/>
    <mergeCell ref="E19:H19"/>
    <mergeCell ref="E20:H20"/>
    <mergeCell ref="E24:H24"/>
    <mergeCell ref="A25:C25"/>
    <mergeCell ref="E25:L25"/>
    <mergeCell ref="E26:L26"/>
    <mergeCell ref="E27:L27"/>
    <mergeCell ref="E34:L34"/>
    <mergeCell ref="E35:L35"/>
    <mergeCell ref="E36:L36"/>
    <mergeCell ref="E37:L37"/>
    <mergeCell ref="E38:L38"/>
    <mergeCell ref="E39:L39"/>
    <mergeCell ref="E40:L40"/>
    <mergeCell ref="E41:L41"/>
    <mergeCell ref="E28:L28"/>
    <mergeCell ref="E29:L29"/>
    <mergeCell ref="A30:C30"/>
    <mergeCell ref="E30:L30"/>
    <mergeCell ref="E31:L31"/>
    <mergeCell ref="E32:L32"/>
    <mergeCell ref="E33:L33"/>
  </mergeCells>
  <hyperlinks>
    <hyperlink r:id="rId1" ref="G13"/>
  </hyperlinks>
  <printOptions gridLines="1" horizontalCentered="1"/>
  <pageMargins bottom="0.75" footer="0.0" header="0.0" left="0.7" right="0.7" top="0.75"/>
  <pageSetup scale="6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33" t="s">
        <v>127</v>
      </c>
    </row>
    <row r="3">
      <c r="A3" s="134" t="s">
        <v>128</v>
      </c>
    </row>
    <row r="4">
      <c r="A4" s="134" t="s">
        <v>129</v>
      </c>
    </row>
    <row r="5">
      <c r="A5" s="134" t="s">
        <v>130</v>
      </c>
    </row>
    <row r="6">
      <c r="A6" s="134" t="s">
        <v>131</v>
      </c>
    </row>
    <row r="7">
      <c r="A7" s="134" t="s">
        <v>132</v>
      </c>
    </row>
    <row r="8">
      <c r="A8" s="134" t="s">
        <v>133</v>
      </c>
    </row>
    <row r="9">
      <c r="A9" s="134" t="s">
        <v>134</v>
      </c>
    </row>
    <row r="10">
      <c r="A10" s="134" t="s">
        <v>135</v>
      </c>
    </row>
    <row r="11">
      <c r="A11" s="134" t="s">
        <v>136</v>
      </c>
    </row>
    <row r="12">
      <c r="A12" s="134" t="s">
        <v>137</v>
      </c>
    </row>
    <row r="13">
      <c r="A13" s="134" t="s">
        <v>138</v>
      </c>
    </row>
    <row r="14">
      <c r="A14" s="134" t="s">
        <v>139</v>
      </c>
    </row>
    <row r="15">
      <c r="A15" s="134" t="s">
        <v>140</v>
      </c>
    </row>
    <row r="16">
      <c r="A16" s="134" t="s">
        <v>141</v>
      </c>
    </row>
  </sheetData>
  <drawing r:id="rId1"/>
</worksheet>
</file>