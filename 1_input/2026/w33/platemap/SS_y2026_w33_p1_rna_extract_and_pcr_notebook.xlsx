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<sst xmlns="http://schemas.openxmlformats.org/spreadsheetml/2006/main" count="332" uniqueCount="203">
  <si>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QC and setting thresholds</t>
  </si>
  <si>
    <t>Step</t>
  </si>
  <si>
    <t>When the run is complete, eject the plate and throw it in the garbage.</t>
  </si>
  <si>
    <t>NAME</t>
  </si>
  <si>
    <t>On the laptop, open the results tab, it will automatically show the ‘amplification plot’ which is a derived number. Change dropdown to multicomponent plot to see actual raw data and fluorescence increase over time.</t>
  </si>
  <si>
    <t>DESCRIPTION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</si>
  <si>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</si>
  <si>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</si>
  <si>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</si>
  <si>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COPY</t>
  </si>
  <si>
    <t>Click eye icon, unclick ‘auto’ next to threshold, and type in 34,000.</t>
  </si>
  <si>
    <t>Do the same thing for the other target (WNV or SLEV).</t>
  </si>
  <si>
    <t>Click “analyze” in the top right corner.</t>
  </si>
  <si>
    <t xml:space="preserve">make a copy of this and put it in the "weekly_report_input_folder" that corresponds to the correct year and week. </t>
  </si>
  <si>
    <t>Check that the negative controls have undetermined Ct values</t>
  </si>
  <si>
    <t>Check that the positive controls have low Ct values (typically around 20 ct)</t>
  </si>
  <si>
    <t>RENAME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</si>
  <si>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</si>
  <si>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</si>
  <si>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</si>
  <si>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</si>
  <si>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</si>
  <si>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</si>
  <si>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</si>
  <si>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</si>
  <si>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A</t>
  </si>
  <si>
    <t>COMPLETE</t>
  </si>
  <si>
    <t>Fill out all highlighted sections and rename this copied file with the "plate # or p#" in the title. This will be the platemap input in the pipeline</t>
  </si>
  <si>
    <t>CSU-25866</t>
  </si>
  <si>
    <t>*</t>
  </si>
  <si>
    <t>Don't change the names of the sheets</t>
  </si>
  <si>
    <t>CSU-25874</t>
  </si>
  <si>
    <t>CSU-25882</t>
  </si>
  <si>
    <t>CSU-25890</t>
  </si>
  <si>
    <t>CSU-25898</t>
  </si>
  <si>
    <t>CSU-25906</t>
  </si>
  <si>
    <t>CSU-25914</t>
  </si>
  <si>
    <t>CSU-25922</t>
  </si>
  <si>
    <t>CSU-25930</t>
  </si>
  <si>
    <t>CSU-25938</t>
  </si>
  <si>
    <t>CSU-25946</t>
  </si>
  <si>
    <t>wnv_std_1e6</t>
  </si>
  <si>
    <t>added in pcr*</t>
  </si>
  <si>
    <t>B</t>
  </si>
  <si>
    <t>CSU-25867</t>
  </si>
  <si>
    <t>CSU-25875</t>
  </si>
  <si>
    <t>CSU-25883</t>
  </si>
  <si>
    <t>CSU-25891</t>
  </si>
  <si>
    <t>CSU-25899</t>
  </si>
  <si>
    <t>CSU-25907</t>
  </si>
  <si>
    <t>CSU-25915</t>
  </si>
  <si>
    <t>CSU-25923</t>
  </si>
  <si>
    <t>CSU-25931</t>
  </si>
  <si>
    <t>CSU-25939</t>
  </si>
  <si>
    <t>CSU-25947</t>
  </si>
  <si>
    <t>wnv_std_1e4</t>
  </si>
  <si>
    <t>C</t>
  </si>
  <si>
    <t>CSU-25868</t>
  </si>
  <si>
    <t>CSU-25876</t>
  </si>
  <si>
    <t>CSU-25884</t>
  </si>
  <si>
    <t>CSU-25892</t>
  </si>
  <si>
    <t>CSU-25900</t>
  </si>
  <si>
    <t>CSU-25908</t>
  </si>
  <si>
    <t>CSU-25916</t>
  </si>
  <si>
    <t>CSU-25924</t>
  </si>
  <si>
    <t>CSU-25932</t>
  </si>
  <si>
    <t>CSU-25940</t>
  </si>
  <si>
    <t>CSU-25948</t>
  </si>
  <si>
    <t>wnv_std_1e2</t>
  </si>
  <si>
    <t>D</t>
  </si>
  <si>
    <t>CSU-25869</t>
  </si>
  <si>
    <t>CSU-25877</t>
  </si>
  <si>
    <t>CSU-25885</t>
  </si>
  <si>
    <t>CSU-25893</t>
  </si>
  <si>
    <t>CSU-25901</t>
  </si>
  <si>
    <t>CSU-25909</t>
  </si>
  <si>
    <t>CSU-25917</t>
  </si>
  <si>
    <t>CSU-25925</t>
  </si>
  <si>
    <t>CSU-25933</t>
  </si>
  <si>
    <t>CSU-25941</t>
  </si>
  <si>
    <t>CSU-25949</t>
  </si>
  <si>
    <t>slev_std_1e6</t>
  </si>
  <si>
    <t>E</t>
  </si>
  <si>
    <t>CSU-25870</t>
  </si>
  <si>
    <t>CSU-25878</t>
  </si>
  <si>
    <t>CSU-25886</t>
  </si>
  <si>
    <t>CSU-25894</t>
  </si>
  <si>
    <t>CSU-25902</t>
  </si>
  <si>
    <t>CSU-25910</t>
  </si>
  <si>
    <t>CSU-25918</t>
  </si>
  <si>
    <t>CSU-25926</t>
  </si>
  <si>
    <t>CSU-25934</t>
  </si>
  <si>
    <t>CSU-25942</t>
  </si>
  <si>
    <t>CSU-25950</t>
  </si>
  <si>
    <t>slev_std_1e4</t>
  </si>
  <si>
    <t>F</t>
  </si>
  <si>
    <t>CSU-25871</t>
  </si>
  <si>
    <t>CSU-25879</t>
  </si>
  <si>
    <t>CSU-25887</t>
  </si>
  <si>
    <t>CSU-25895</t>
  </si>
  <si>
    <t>CSU-25903</t>
  </si>
  <si>
    <t>CSU-25911</t>
  </si>
  <si>
    <t>CSU-25919</t>
  </si>
  <si>
    <t>CSU-25927</t>
  </si>
  <si>
    <t>CSU-25935</t>
  </si>
  <si>
    <t>CSU-25943</t>
  </si>
  <si>
    <t>CSU-25951</t>
  </si>
  <si>
    <t>slev_std_1e2</t>
  </si>
  <si>
    <t>G</t>
  </si>
  <si>
    <t>CSU-25872</t>
  </si>
  <si>
    <t>CSU-25880</t>
  </si>
  <si>
    <t>CSU-25888</t>
  </si>
  <si>
    <t>CSU-25896</t>
  </si>
  <si>
    <t>CSU-25904</t>
  </si>
  <si>
    <t>CSU-25912</t>
  </si>
  <si>
    <t>CSU-25920</t>
  </si>
  <si>
    <t>CSU-25928</t>
  </si>
  <si>
    <t>CSU-25936</t>
  </si>
  <si>
    <t>CSU-25944</t>
  </si>
  <si>
    <t>CSU-25952</t>
  </si>
  <si>
    <t>neg pcr ctrl</t>
  </si>
  <si>
    <t>H</t>
  </si>
  <si>
    <t>CSU-25873</t>
  </si>
  <si>
    <t>CSU-25881</t>
  </si>
  <si>
    <t>CSU-25889</t>
  </si>
  <si>
    <t>CSU-25897</t>
  </si>
  <si>
    <t>CSU-25905</t>
  </si>
  <si>
    <t>CSU-25913</t>
  </si>
  <si>
    <t>CSU-25921</t>
  </si>
  <si>
    <t>CSU-25929</t>
  </si>
  <si>
    <t>CSU-25937</t>
  </si>
  <si>
    <t>CSU-25945</t>
  </si>
  <si>
    <t>neg extract ctl</t>
  </si>
  <si>
    <t>pos extract ctl</t>
  </si>
  <si>
    <t xml:space="preserve"> pos extract ctl</t>
  </si>
  <si>
    <t>YOUR NAME</t>
  </si>
  <si>
    <t>full protocol here -----------------------&gt;</t>
  </si>
  <si>
    <t>SS - RNA extraction</t>
  </si>
  <si>
    <t>SS - Multiplex qRT-PCR</t>
  </si>
  <si>
    <t>SUPPLIES</t>
  </si>
  <si>
    <t>PROTOCOL CHECKLIST</t>
  </si>
  <si>
    <t>Machine/Reagent</t>
  </si>
  <si>
    <t>take samples out of freezer to thaw</t>
  </si>
  <si>
    <t>Lot/ID</t>
  </si>
  <si>
    <t>positive extraction control</t>
  </si>
  <si>
    <t>Mastermix</t>
  </si>
  <si>
    <t>ethanol added to SPR (check mark on bottle)</t>
  </si>
  <si>
    <t>neg pcr control added</t>
  </si>
  <si>
    <t>ethanol added to VHB  (check mark on bottle)</t>
  </si>
  <si>
    <t>primer probe</t>
  </si>
  <si>
    <t>NA</t>
  </si>
  <si>
    <t>standards added</t>
  </si>
  <si>
    <t>positve and negative extraction controls added</t>
  </si>
  <si>
    <t>RT enzyme</t>
  </si>
  <si>
    <t>Reagents put back in -4 C</t>
  </si>
  <si>
    <t>Kingfisher</t>
  </si>
  <si>
    <t>beads at room temp</t>
  </si>
  <si>
    <t>standards</t>
  </si>
  <si>
    <t>baseline threshold changed to 34000 and hit Analyze</t>
  </si>
  <si>
    <t>TNA Lysis Buffer</t>
  </si>
  <si>
    <t>beads vortexed</t>
  </si>
  <si>
    <t>Export .xls file with named "SS-y####-w#-p#-pcr"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</si>
  <si>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</si>
  <si>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</si>
  <si>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</si>
  <si>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</si>
  <si>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</si>
  <si>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RXN INPUT</t>
  </si>
  <si>
    <t>A1 of sample plate oriented to A1 in machine</t>
  </si>
  <si>
    <t>magbind beads</t>
  </si>
  <si>
    <t>RUN NOTES</t>
  </si>
  <si>
    <t>Return tip plate to top of robot</t>
  </si>
  <si>
    <t>N samples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</si>
  <si>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</si>
  <si>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</si>
  <si>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</si>
  <si>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</si>
  <si>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non blank values in platemap</t>
  </si>
  <si>
    <t>dfh20</t>
  </si>
  <si>
    <t>Overage</t>
  </si>
  <si>
    <t>% over recommended to ensure enough volume for pipetting</t>
  </si>
  <si>
    <t>RXN CALCULATOR</t>
  </si>
  <si>
    <t xml:space="preserve"> MM1 Reagent</t>
  </si>
  <si>
    <t>1X</t>
  </si>
  <si>
    <t>Total Reaction</t>
  </si>
  <si>
    <t>(non blank values in platemap, excluding standards and neg pcr ctrl)</t>
  </si>
  <si>
    <t>Primer probe</t>
  </si>
  <si>
    <t>RT</t>
  </si>
  <si>
    <t xml:space="preserve"> Sample MM1</t>
  </si>
  <si>
    <t>total</t>
  </si>
  <si>
    <t>Added?</t>
  </si>
  <si>
    <t>TNA lysis buffer</t>
  </si>
  <si>
    <t>Mini MM tube # and V</t>
  </si>
  <si>
    <t>isopropanol</t>
  </si>
  <si>
    <t>use the space above to write any anomalies with the run as a whole or notes about particular samples.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</si>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</sst>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1.0"/>
      <color rgb="FF000000"/>
      <name val="Arial"/>
    </font>
    <font>
      <sz val="16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4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readingOrder="0"/>
    </xf>
    <xf borderId="3" fillId="2" fontId="6" numFmtId="0" xfId="0" applyAlignment="1" applyBorder="1" applyFont="1">
      <alignment readingOrder="0"/>
    </xf>
    <xf borderId="4" fillId="2" fontId="6" numFmtId="0" xfId="0" applyAlignment="1" applyBorder="1" applyFont="1">
      <alignment readingOrder="0"/>
    </xf>
    <xf borderId="0" fillId="0" fontId="4" numFmtId="0" xfId="0" applyAlignment="1" applyFont="1">
      <alignment horizontal="center" vertical="center"/>
    </xf>
    <xf borderId="5" fillId="3" fontId="4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5" fillId="3" fontId="7" numFmtId="0" xfId="0" applyAlignment="1" applyBorder="1" applyFont="1">
      <alignment readingOrder="0" vertical="bottom"/>
    </xf>
    <xf borderId="6" fillId="0" fontId="8" numFmtId="0" xfId="0" applyBorder="1" applyFont="1"/>
    <xf borderId="5" fillId="4" fontId="4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4" numFmtId="0" xfId="0" applyBorder="1" applyFill="1" applyFont="1"/>
    <xf borderId="8" fillId="0" fontId="10" numFmtId="0" xfId="0" applyBorder="1" applyFont="1"/>
    <xf borderId="5" fillId="6" fontId="4" numFmtId="0" xfId="0" applyBorder="1" applyFill="1" applyFont="1"/>
    <xf borderId="9" fillId="0" fontId="10" numFmtId="0" xfId="0" applyBorder="1" applyFont="1"/>
    <xf borderId="7" fillId="3" fontId="4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10" fillId="2" fontId="6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/>
    </xf>
    <xf borderId="0" fillId="0" fontId="13" numFmtId="0" xfId="0" applyFont="1"/>
    <xf borderId="12" fillId="0" fontId="10" numFmtId="0" xfId="0" applyBorder="1" applyFont="1"/>
    <xf borderId="12" fillId="3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3" fillId="7" fontId="16" numFmtId="0" xfId="0" applyAlignment="1" applyBorder="1" applyFill="1" applyFont="1">
      <alignment horizontal="center" readingOrder="0"/>
    </xf>
    <xf borderId="12" fillId="3" fontId="4" numFmtId="0" xfId="0" applyBorder="1" applyFont="1"/>
    <xf borderId="14" fillId="0" fontId="10" numFmtId="0" xfId="0" applyBorder="1" applyFont="1"/>
    <xf borderId="0" fillId="0" fontId="16" numFmtId="0" xfId="0" applyAlignment="1" applyFont="1">
      <alignment horizontal="center" readingOrder="0"/>
    </xf>
    <xf borderId="15" fillId="8" fontId="16" numFmtId="0" xfId="0" applyAlignment="1" applyBorder="1" applyFill="1" applyFont="1">
      <alignment horizontal="center" readingOrder="0"/>
    </xf>
    <xf borderId="15" fillId="7" fontId="16" numFmtId="0" xfId="0" applyAlignment="1" applyBorder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18" fillId="0" fontId="17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/>
    </xf>
    <xf borderId="6" fillId="0" fontId="17" numFmtId="0" xfId="0" applyAlignment="1" applyBorder="1" applyFont="1">
      <alignment vertical="bottom"/>
    </xf>
    <xf borderId="19" fillId="0" fontId="10" numFmtId="0" xfId="0" applyBorder="1" applyFont="1"/>
    <xf borderId="20" fillId="0" fontId="7" numFmtId="0" xfId="0" applyAlignment="1" applyBorder="1" applyFont="1">
      <alignment readingOrder="0" vertical="bottom"/>
    </xf>
    <xf borderId="21" fillId="0" fontId="10" numFmtId="0" xfId="0" applyBorder="1" applyFont="1"/>
    <xf borderId="22" fillId="3" fontId="4" numFmtId="0" xfId="0" applyAlignment="1" applyBorder="1" applyFont="1">
      <alignment readingOrder="0"/>
    </xf>
    <xf borderId="6" fillId="3" fontId="7" numFmtId="0" xfId="0" applyAlignment="1" applyBorder="1" applyFont="1">
      <alignment horizontal="center" readingOrder="0"/>
    </xf>
    <xf borderId="18" fillId="0" fontId="7" numFmtId="0" xfId="0" applyAlignment="1" applyBorder="1" applyFont="1">
      <alignment readingOrder="0" vertical="bottom"/>
    </xf>
    <xf borderId="20" fillId="0" fontId="4" numFmtId="0" xfId="0" applyAlignment="1" applyBorder="1" applyFont="1">
      <alignment readingOrder="0"/>
    </xf>
    <xf borderId="6" fillId="3" fontId="7" numFmtId="49" xfId="0" applyAlignment="1" applyBorder="1" applyFont="1" applyNumberFormat="1">
      <alignment horizontal="center" vertical="bottom"/>
    </xf>
    <xf borderId="6" fillId="3" fontId="4" numFmtId="0" xfId="0" applyAlignment="1" applyBorder="1" applyFont="1">
      <alignment readingOrder="0"/>
    </xf>
    <xf borderId="20" fillId="0" fontId="7" numFmtId="0" xfId="0" applyAlignment="1" applyBorder="1" applyFont="1">
      <alignment vertical="bottom"/>
    </xf>
    <xf borderId="6" fillId="3" fontId="7" numFmtId="49" xfId="0" applyAlignment="1" applyBorder="1" applyFont="1" applyNumberFormat="1">
      <alignment horizontal="center" readingOrder="0" vertical="bottom"/>
    </xf>
    <xf borderId="18" fillId="0" fontId="7" numFmtId="0" xfId="0" applyAlignment="1" applyBorder="1" applyFont="1">
      <alignment vertical="bottom"/>
    </xf>
    <xf borderId="6" fillId="3" fontId="7" numFmtId="0" xfId="0" applyAlignment="1" applyBorder="1" applyFon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22" fillId="3" fontId="7" numFmtId="49" xfId="0" applyAlignment="1" applyBorder="1" applyFont="1" applyNumberFormat="1">
      <alignment horizontal="center" vertical="bottom"/>
    </xf>
    <xf borderId="6" fillId="3" fontId="4" numFmtId="0" xfId="0" applyBorder="1" applyFont="1"/>
    <xf borderId="22" fillId="3" fontId="7" numFmtId="49" xfId="0" applyAlignment="1" applyBorder="1" applyFont="1" applyNumberForma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22" fillId="3" fontId="7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  <xf borderId="13" fillId="7" fontId="18" numFmtId="0" xfId="0" applyAlignment="1" applyBorder="1" applyFont="1">
      <alignment horizontal="center" readingOrder="0" vertical="bottom"/>
    </xf>
    <xf borderId="1" fillId="8" fontId="16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shrinkToFit="0" wrapText="1"/>
    </xf>
    <xf borderId="24" fillId="0" fontId="4" numFmtId="0" xfId="0" applyAlignment="1" applyBorder="1" applyFont="1">
      <alignment readingOrder="0"/>
    </xf>
    <xf borderId="5" fillId="0" fontId="19" numFmtId="0" xfId="0" applyAlignment="1" applyBorder="1" applyFont="1">
      <alignment readingOrder="0" shrinkToFit="0" vertical="bottom" wrapText="1"/>
    </xf>
    <xf borderId="25" fillId="0" fontId="10" numFmtId="0" xfId="0" applyBorder="1" applyFont="1"/>
    <xf borderId="26" fillId="0" fontId="10" numFmtId="0" xfId="0" applyBorder="1" applyFont="1"/>
    <xf borderId="27" fillId="0" fontId="4" numFmtId="0" xfId="0" applyBorder="1" applyFont="1"/>
    <xf borderId="28" fillId="0" fontId="10" numFmtId="0" xfId="0" applyBorder="1" applyFont="1"/>
    <xf borderId="22" fillId="3" fontId="4" numFmtId="0" xfId="0" applyBorder="1" applyFont="1"/>
    <xf borderId="29" fillId="0" fontId="10" numFmtId="0" xfId="0" applyBorder="1" applyFont="1"/>
    <xf borderId="22" fillId="3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4" fillId="0" fontId="4" numFmtId="0" xfId="0" applyBorder="1" applyFont="1"/>
    <xf borderId="30" fillId="0" fontId="10" numFmtId="0" xfId="0" applyBorder="1" applyFont="1"/>
    <xf borderId="13" fillId="8" fontId="18" numFmtId="0" xfId="0" applyAlignment="1" applyBorder="1" applyFont="1">
      <alignment horizontal="center" readingOrder="0" vertical="bottom"/>
    </xf>
    <xf borderId="15" fillId="7" fontId="18" numFmtId="0" xfId="0" applyAlignment="1" applyBorder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18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5" fillId="8" fontId="18" numFmtId="0" xfId="0" applyAlignment="1" applyBorder="1" applyFont="1">
      <alignment horizontal="center" readingOrder="0" vertical="bottom"/>
    </xf>
    <xf borderId="18" fillId="0" fontId="20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readingOrder="0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0" fillId="3" fontId="4" numFmtId="0" xfId="0" applyFont="1"/>
    <xf borderId="32" fillId="0" fontId="7" numFmtId="0" xfId="0" applyAlignment="1" applyBorder="1" applyFont="1">
      <alignment vertical="bottom"/>
    </xf>
    <xf borderId="10" fillId="0" fontId="4" numFmtId="0" xfId="0" applyAlignment="1" applyBorder="1" applyFont="1">
      <alignment readingOrder="0"/>
    </xf>
    <xf borderId="31" fillId="0" fontId="4" numFmtId="0" xfId="0" applyBorder="1" applyFont="1"/>
    <xf borderId="32" fillId="0" fontId="4" numFmtId="0" xfId="0" applyBorder="1" applyFont="1"/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4" numFmtId="0" xfId="0" applyAlignment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2" t="s">
        <v>1</v>
      </c>
      <c r="B1" s="2" t="s">
        <v>3</v>
      </c>
      <c r="C1" s="2" t="s">
        <v>5</v>
      </c>
    </row>
    <row r="2">
      <c r="A2" s="2">
        <v>1.0</v>
      </c>
      <c r="B2" s="5" t="s">
        <v>9</v>
      </c>
      <c r="C2" s="2" t="s">
        <v>13</v>
      </c>
    </row>
    <row r="3">
      <c r="A3" s="2">
        <v>2.0</v>
      </c>
      <c r="B3" s="5" t="s">
        <v>16</v>
      </c>
      <c r="C3" s="2" t="s">
        <v>21</v>
      </c>
    </row>
    <row r="4">
      <c r="A4" s="2"/>
      <c r="B4" s="5"/>
      <c r="C4" s="2" t="s">
        <v>22</v>
      </c>
    </row>
    <row r="5">
      <c r="A5" s="2">
        <v>3.0</v>
      </c>
      <c r="B5" s="5" t="s">
        <v>23</v>
      </c>
      <c r="C5" s="2" t="s">
        <v>24</v>
      </c>
    </row>
    <row r="6">
      <c r="A6" s="2">
        <v>4.0</v>
      </c>
      <c r="B6" s="5" t="s">
        <v>26</v>
      </c>
      <c r="C6" s="2" t="s">
        <v>27</v>
      </c>
    </row>
    <row r="7">
      <c r="A7" s="9"/>
      <c r="B7" s="9"/>
      <c r="C7" s="9"/>
    </row>
    <row r="8">
      <c r="B8" s="2" t="s">
        <v>29</v>
      </c>
      <c r="C8" s="11" t="s">
        <v>30</v>
      </c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  <row r="1001">
      <c r="A1001" s="12"/>
      <c r="B1001" s="12"/>
      <c r="C1001" s="12"/>
    </row>
    <row r="1002">
      <c r="A1002" s="12"/>
      <c r="B1002" s="12"/>
      <c r="C100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7">
        <v>12.0</v>
      </c>
    </row>
    <row r="2">
      <c r="A2" s="8" t="s">
        <v>25</v>
      </c>
      <c r="B2" s="10" t="s">
        <v>28</v>
      </c>
      <c r="C2" s="10" t="s">
        <v>31</v>
      </c>
      <c r="D2" s="10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0" t="s">
        <v>37</v>
      </c>
      <c r="J2" s="10" t="s">
        <v>38</v>
      </c>
      <c r="K2" s="10" t="s">
        <v>39</v>
      </c>
      <c r="L2" s="10" t="s">
        <v>40</v>
      </c>
      <c r="M2" s="14" t="s">
        <v>41</v>
      </c>
      <c r="N2" s="16" t="s">
        <v>42</v>
      </c>
    </row>
    <row r="3">
      <c r="A3" s="8" t="s">
        <v>43</v>
      </c>
      <c r="B3" s="10" t="s">
        <v>44</v>
      </c>
      <c r="C3" s="10" t="s">
        <v>45</v>
      </c>
      <c r="D3" s="10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0" t="s">
        <v>51</v>
      </c>
      <c r="J3" s="10" t="s">
        <v>52</v>
      </c>
      <c r="K3" s="10" t="s">
        <v>53</v>
      </c>
      <c r="L3" s="10" t="s">
        <v>54</v>
      </c>
      <c r="M3" s="14" t="s">
        <v>55</v>
      </c>
      <c r="N3" s="18"/>
    </row>
    <row r="4">
      <c r="A4" s="8" t="s">
        <v>56</v>
      </c>
      <c r="B4" s="10" t="s">
        <v>57</v>
      </c>
      <c r="C4" s="10" t="s">
        <v>58</v>
      </c>
      <c r="D4" s="10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4" t="s">
        <v>68</v>
      </c>
      <c r="N4" s="18"/>
    </row>
    <row r="5">
      <c r="A5" s="8" t="s">
        <v>69</v>
      </c>
      <c r="B5" s="10" t="s">
        <v>70</v>
      </c>
      <c r="C5" s="10" t="s">
        <v>71</v>
      </c>
      <c r="D5" s="10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4" t="s">
        <v>81</v>
      </c>
      <c r="N5" s="18"/>
    </row>
    <row r="6">
      <c r="A6" s="8" t="s">
        <v>82</v>
      </c>
      <c r="B6" s="10" t="s">
        <v>83</v>
      </c>
      <c r="C6" s="10" t="s">
        <v>84</v>
      </c>
      <c r="D6" s="10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4" t="s">
        <v>94</v>
      </c>
      <c r="N6" s="18"/>
    </row>
    <row r="7">
      <c r="A7" s="8" t="s">
        <v>95</v>
      </c>
      <c r="B7" s="10" t="s">
        <v>96</v>
      </c>
      <c r="C7" s="10" t="s">
        <v>97</v>
      </c>
      <c r="D7" s="10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  <c r="M7" s="14" t="s">
        <v>107</v>
      </c>
      <c r="N7" s="20"/>
    </row>
    <row r="8">
      <c r="A8" s="8" t="s">
        <v>108</v>
      </c>
      <c r="B8" s="10" t="s">
        <v>109</v>
      </c>
      <c r="C8" s="10" t="s">
        <v>110</v>
      </c>
      <c r="D8" s="10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0" t="s">
        <v>116</v>
      </c>
      <c r="J8" s="10" t="s">
        <v>117</v>
      </c>
      <c r="K8" s="10" t="s">
        <v>118</v>
      </c>
      <c r="L8" s="10" t="s">
        <v>119</v>
      </c>
      <c r="M8" s="22" t="s">
        <v>120</v>
      </c>
    </row>
    <row r="9">
      <c r="A9" s="23" t="s">
        <v>121</v>
      </c>
      <c r="B9" s="10" t="s">
        <v>122</v>
      </c>
      <c r="C9" s="10" t="s">
        <v>123</v>
      </c>
      <c r="D9" s="10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0" t="s">
        <v>129</v>
      </c>
      <c r="J9" s="10" t="s">
        <v>130</v>
      </c>
      <c r="K9" s="10" t="s">
        <v>131</v>
      </c>
      <c r="L9" s="10" t="s">
        <v>132</v>
      </c>
      <c r="M9" s="10" t="s">
        <v>134</v>
      </c>
    </row>
    <row r="11">
      <c r="F11" s="24" t="s">
        <v>136</v>
      </c>
      <c r="G11" s="26"/>
      <c r="H11" s="30" t="s">
        <v>137</v>
      </c>
    </row>
    <row r="12">
      <c r="A12" s="25" t="s">
        <v>135</v>
      </c>
      <c r="B12" s="27"/>
      <c r="C12" s="33"/>
      <c r="F12" s="36" t="s">
        <v>140</v>
      </c>
      <c r="G12" s="38"/>
      <c r="H12" s="38"/>
      <c r="I12" s="38"/>
      <c r="J12" s="39"/>
    </row>
    <row r="13">
      <c r="F13" s="41" t="s">
        <v>142</v>
      </c>
      <c r="I13" s="43"/>
      <c r="J13" s="46" t="b">
        <v>1</v>
      </c>
    </row>
    <row r="14">
      <c r="A14" s="36" t="s">
        <v>139</v>
      </c>
      <c r="B14" s="39"/>
      <c r="F14" s="49" t="s">
        <v>146</v>
      </c>
      <c r="G14" s="45"/>
      <c r="H14" s="45"/>
      <c r="I14" s="34"/>
      <c r="J14" s="51" t="b">
        <v>1</v>
      </c>
    </row>
    <row r="15">
      <c r="A15" s="40" t="s">
        <v>141</v>
      </c>
      <c r="B15" s="42" t="s">
        <v>143</v>
      </c>
      <c r="F15" s="49" t="s">
        <v>148</v>
      </c>
      <c r="G15" s="45"/>
      <c r="H15" s="45"/>
      <c r="I15" s="34"/>
      <c r="J15" s="51" t="b">
        <v>1</v>
      </c>
    </row>
    <row r="16">
      <c r="A16" s="54"/>
      <c r="B16" s="55"/>
      <c r="F16" s="49" t="s">
        <v>152</v>
      </c>
      <c r="G16" s="45"/>
      <c r="H16" s="45"/>
      <c r="I16" s="34"/>
      <c r="J16" s="58" t="b">
        <v>0</v>
      </c>
    </row>
    <row r="17">
      <c r="A17" s="54" t="s">
        <v>155</v>
      </c>
      <c r="B17" s="55" t="s">
        <v>150</v>
      </c>
      <c r="F17" s="49" t="s">
        <v>156</v>
      </c>
      <c r="G17" s="45"/>
      <c r="H17" s="45"/>
      <c r="I17" s="34"/>
      <c r="J17" s="58" t="b">
        <v>0</v>
      </c>
    </row>
    <row r="18">
      <c r="A18" s="54" t="s">
        <v>159</v>
      </c>
      <c r="B18" s="60"/>
      <c r="F18" s="49" t="s">
        <v>160</v>
      </c>
      <c r="G18" s="45"/>
      <c r="H18" s="45"/>
      <c r="I18" s="34"/>
      <c r="J18" s="58" t="b">
        <v>0</v>
      </c>
    </row>
    <row r="19">
      <c r="A19" s="54" t="s">
        <v>162</v>
      </c>
      <c r="B19" s="60"/>
      <c r="F19" s="49" t="s">
        <v>163</v>
      </c>
      <c r="G19" s="45"/>
      <c r="H19" s="45"/>
      <c r="I19" s="34"/>
      <c r="J19" s="58" t="b">
        <v>0</v>
      </c>
    </row>
    <row r="20">
      <c r="A20" s="54" t="s">
        <v>164</v>
      </c>
      <c r="B20" s="60"/>
      <c r="F20" s="49" t="s">
        <v>165</v>
      </c>
      <c r="G20" s="45"/>
      <c r="H20" s="45"/>
      <c r="I20" s="34"/>
      <c r="J20" s="58" t="b">
        <v>0</v>
      </c>
    </row>
    <row r="21">
      <c r="A21" s="54" t="s">
        <v>166</v>
      </c>
      <c r="B21" s="60"/>
      <c r="F21" s="49" t="s">
        <v>168</v>
      </c>
      <c r="G21" s="45"/>
      <c r="H21" s="45"/>
      <c r="I21" s="34"/>
      <c r="J21" s="58" t="b">
        <v>0</v>
      </c>
    </row>
    <row r="22">
      <c r="A22" s="54" t="s">
        <v>169</v>
      </c>
      <c r="B22" s="60"/>
      <c r="F22" s="49" t="s">
        <v>171</v>
      </c>
      <c r="G22" s="45"/>
      <c r="H22" s="45"/>
      <c r="I22" s="34"/>
      <c r="J22" s="58" t="b">
        <v>0</v>
      </c>
    </row>
    <row r="23">
      <c r="A23" s="54" t="s">
        <v>173</v>
      </c>
      <c r="B23" s="60"/>
      <c r="F23" s="49" t="s">
        <v>174</v>
      </c>
      <c r="G23" s="45"/>
      <c r="H23" s="45"/>
      <c r="I23" s="34"/>
      <c r="J23" s="58" t="b">
        <v>0</v>
      </c>
    </row>
    <row r="24">
      <c r="A24" s="54" t="s">
        <v>175</v>
      </c>
      <c r="B24" s="60"/>
      <c r="F24" s="70" t="s">
        <v>176</v>
      </c>
      <c r="G24" s="72"/>
      <c r="H24" s="72"/>
      <c r="I24" s="73"/>
      <c r="J24" s="76" t="b">
        <v>0</v>
      </c>
    </row>
    <row r="25">
      <c r="A25" s="56" t="s">
        <v>178</v>
      </c>
      <c r="B25" s="78"/>
    </row>
    <row r="26">
      <c r="A26" s="62"/>
      <c r="B26" s="80"/>
      <c r="C26" s="62"/>
    </row>
    <row r="28" ht="50.25" customHeight="1">
      <c r="A28" s="83" t="s">
        <v>167</v>
      </c>
      <c r="B28" s="45"/>
      <c r="C28" s="34"/>
      <c r="F28" s="65" t="s">
        <v>170</v>
      </c>
      <c r="G28" s="66"/>
      <c r="H28" s="66"/>
      <c r="I28" s="66"/>
      <c r="J28" s="66"/>
      <c r="K28" s="66"/>
      <c r="L28" s="66"/>
      <c r="M28" s="67"/>
    </row>
    <row r="29" ht="23.25" customHeight="1">
      <c r="A29" s="68" t="s">
        <v>172</v>
      </c>
      <c r="B29" s="69">
        <f>COUNTA($B$2:$L$9,$M$9)</f>
        <v>89</v>
      </c>
      <c r="C29" s="71" t="s">
        <v>185</v>
      </c>
      <c r="F29" s="74"/>
      <c r="G29" s="75"/>
      <c r="H29" s="75"/>
      <c r="I29" s="75"/>
      <c r="J29" s="75"/>
      <c r="K29" s="75"/>
      <c r="L29" s="75"/>
      <c r="M29" s="77"/>
    </row>
    <row r="30">
      <c r="A30" s="68" t="s">
        <v>179</v>
      </c>
      <c r="B30" s="79">
        <v>1.2</v>
      </c>
      <c r="C30" s="71" t="s">
        <v>180</v>
      </c>
      <c r="F30" s="81"/>
      <c r="M30" s="82"/>
    </row>
    <row r="31">
      <c r="A31" s="91"/>
      <c r="B31" s="91"/>
      <c r="C31" s="92"/>
      <c r="F31" s="81"/>
      <c r="M31" s="82"/>
    </row>
    <row r="32">
      <c r="A32" s="93" t="s">
        <v>181</v>
      </c>
      <c r="B32" s="38"/>
      <c r="C32" s="39"/>
      <c r="F32" s="81"/>
      <c r="M32" s="82"/>
    </row>
    <row r="33">
      <c r="A33" s="85" t="s">
        <v>188</v>
      </c>
      <c r="B33" s="86" t="s">
        <v>183</v>
      </c>
      <c r="C33" s="87" t="s">
        <v>184</v>
      </c>
      <c r="D33" s="95" t="s">
        <v>190</v>
      </c>
      <c r="F33" s="81"/>
      <c r="M33" s="82"/>
    </row>
    <row r="34">
      <c r="A34" s="97" t="s">
        <v>191</v>
      </c>
      <c r="B34" s="98">
        <v>60.0</v>
      </c>
      <c r="C34" s="90">
        <f t="shared" ref="C34:C37" si="1">B34*$B$29*$B$30</f>
        <v>6408</v>
      </c>
      <c r="D34" s="101" t="b">
        <v>0</v>
      </c>
      <c r="F34" s="81"/>
      <c r="M34" s="82"/>
    </row>
    <row r="35">
      <c r="A35" s="97" t="s">
        <v>166</v>
      </c>
      <c r="B35" s="98">
        <v>1.0</v>
      </c>
      <c r="C35" s="90">
        <f t="shared" si="1"/>
        <v>106.8</v>
      </c>
      <c r="D35" s="101" t="b">
        <v>0</v>
      </c>
      <c r="F35" s="81"/>
      <c r="M35" s="82"/>
    </row>
    <row r="36">
      <c r="A36" s="97" t="s">
        <v>193</v>
      </c>
      <c r="B36" s="98">
        <v>70.0</v>
      </c>
      <c r="C36" s="90">
        <f t="shared" si="1"/>
        <v>7476</v>
      </c>
      <c r="D36" s="101" t="b">
        <v>0</v>
      </c>
      <c r="F36" s="81"/>
      <c r="M36" s="82"/>
    </row>
    <row r="37">
      <c r="A37" s="94" t="s">
        <v>189</v>
      </c>
      <c r="B37" s="109">
        <f>sum(B34:B36)</f>
        <v>131</v>
      </c>
      <c r="C37" s="90">
        <f t="shared" si="1"/>
        <v>13990.8</v>
      </c>
      <c r="F37" s="81"/>
      <c r="M37" s="82"/>
    </row>
    <row r="38">
      <c r="A38" s="112" t="s">
        <v>192</v>
      </c>
      <c r="B38" s="80">
        <v>8.0</v>
      </c>
      <c r="C38" s="113">
        <f>C37/B38</f>
        <v>1748.85</v>
      </c>
      <c r="F38" s="81"/>
      <c r="M38" s="82"/>
    </row>
    <row r="39">
      <c r="A39" s="114"/>
      <c r="B39" s="62"/>
      <c r="C39" s="113"/>
      <c r="F39" s="81"/>
      <c r="M39" s="82"/>
    </row>
    <row r="40">
      <c r="A40" s="115" t="s">
        <v>195</v>
      </c>
      <c r="B40" s="116" t="s">
        <v>183</v>
      </c>
      <c r="C40" s="117" t="s">
        <v>184</v>
      </c>
      <c r="F40" s="81"/>
      <c r="M40" s="82"/>
    </row>
    <row r="41">
      <c r="A41" s="118" t="s">
        <v>196</v>
      </c>
      <c r="B41" s="119">
        <v>5.0</v>
      </c>
      <c r="C41" s="90">
        <f t="shared" ref="C41:C43" si="2">B41*$B$29*$B$30</f>
        <v>534</v>
      </c>
      <c r="D41" s="120" t="b">
        <v>0</v>
      </c>
      <c r="F41" s="81"/>
      <c r="M41" s="82"/>
    </row>
    <row r="42">
      <c r="A42" s="118" t="s">
        <v>197</v>
      </c>
      <c r="B42" s="119">
        <v>5.0</v>
      </c>
      <c r="C42" s="90">
        <f t="shared" si="2"/>
        <v>534</v>
      </c>
      <c r="D42" s="101" t="b">
        <v>0</v>
      </c>
      <c r="F42" s="81"/>
      <c r="M42" s="82"/>
    </row>
    <row r="43">
      <c r="A43" s="121" t="s">
        <v>189</v>
      </c>
      <c r="B43" s="122">
        <f>sum(B41:B42)</f>
        <v>10</v>
      </c>
      <c r="C43" s="90">
        <f t="shared" si="2"/>
        <v>1068</v>
      </c>
      <c r="D43" s="101" t="b">
        <v>0</v>
      </c>
      <c r="F43" s="81"/>
      <c r="M43" s="82"/>
    </row>
    <row r="44">
      <c r="A44" s="99" t="s">
        <v>192</v>
      </c>
      <c r="B44" s="100">
        <v>8.0</v>
      </c>
      <c r="C44" s="102">
        <f>C43/B44</f>
        <v>133.5</v>
      </c>
      <c r="F44" s="81"/>
      <c r="M44" s="82"/>
    </row>
    <row r="45">
      <c r="F45" s="103" t="s">
        <v>194</v>
      </c>
      <c r="G45" s="104"/>
      <c r="H45" s="104"/>
      <c r="I45" s="104"/>
      <c r="J45" s="104"/>
      <c r="K45" s="104"/>
      <c r="L45" s="104"/>
      <c r="M45" s="105"/>
    </row>
    <row r="46">
      <c r="A46" s="123" t="s">
        <v>198</v>
      </c>
      <c r="B46" s="123" t="s">
        <v>199</v>
      </c>
      <c r="C46" s="123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101" t="b">
        <v>0</v>
      </c>
    </row>
    <row r="48">
      <c r="A48" s="124" t="s">
        <v>175</v>
      </c>
      <c r="B48" s="125">
        <v>200.0</v>
      </c>
      <c r="C48" s="126">
        <f t="shared" ref="C48:C49" si="3">B48*$B$29*$B$30</f>
        <v>21360</v>
      </c>
      <c r="D48" s="101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10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8" t="s">
        <v>25</v>
      </c>
      <c r="B2" s="10" t="s">
        <v>28</v>
      </c>
      <c r="C2" s="10" t="s">
        <v>31</v>
      </c>
      <c r="D2" s="10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0" t="s">
        <v>37</v>
      </c>
      <c r="J2" s="10" t="s">
        <v>38</v>
      </c>
      <c r="K2" s="10" t="s">
        <v>39</v>
      </c>
      <c r="L2" s="10" t="s">
        <v>40</v>
      </c>
      <c r="M2" s="15" t="s">
        <v>41</v>
      </c>
    </row>
    <row r="3">
      <c r="A3" s="8" t="s">
        <v>43</v>
      </c>
      <c r="B3" s="10" t="s">
        <v>44</v>
      </c>
      <c r="C3" s="10" t="s">
        <v>45</v>
      </c>
      <c r="D3" s="10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0" t="s">
        <v>51</v>
      </c>
      <c r="J3" s="10" t="s">
        <v>52</v>
      </c>
      <c r="K3" s="10" t="s">
        <v>53</v>
      </c>
      <c r="L3" s="10" t="s">
        <v>54</v>
      </c>
      <c r="M3" s="17" t="s">
        <v>55</v>
      </c>
    </row>
    <row r="4">
      <c r="A4" s="8" t="s">
        <v>56</v>
      </c>
      <c r="B4" s="10" t="s">
        <v>57</v>
      </c>
      <c r="C4" s="10" t="s">
        <v>58</v>
      </c>
      <c r="D4" s="10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9" t="s">
        <v>68</v>
      </c>
    </row>
    <row r="5">
      <c r="A5" s="8" t="s">
        <v>69</v>
      </c>
      <c r="B5" s="10" t="s">
        <v>70</v>
      </c>
      <c r="C5" s="10" t="s">
        <v>71</v>
      </c>
      <c r="D5" s="10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5" t="s">
        <v>81</v>
      </c>
    </row>
    <row r="6">
      <c r="A6" s="8" t="s">
        <v>82</v>
      </c>
      <c r="B6" s="10" t="s">
        <v>83</v>
      </c>
      <c r="C6" s="10" t="s">
        <v>84</v>
      </c>
      <c r="D6" s="10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7" t="s">
        <v>94</v>
      </c>
    </row>
    <row r="7">
      <c r="A7" s="8" t="s">
        <v>95</v>
      </c>
      <c r="B7" s="10" t="s">
        <v>96</v>
      </c>
      <c r="C7" s="10" t="s">
        <v>97</v>
      </c>
      <c r="D7" s="10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  <c r="M7" s="19" t="s">
        <v>107</v>
      </c>
    </row>
    <row r="8">
      <c r="A8" s="8" t="s">
        <v>108</v>
      </c>
      <c r="B8" s="10" t="s">
        <v>109</v>
      </c>
      <c r="C8" s="10" t="s">
        <v>110</v>
      </c>
      <c r="D8" s="10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0" t="s">
        <v>116</v>
      </c>
      <c r="J8" s="10" t="s">
        <v>117</v>
      </c>
      <c r="K8" s="10" t="s">
        <v>118</v>
      </c>
      <c r="L8" s="10" t="s">
        <v>119</v>
      </c>
      <c r="M8" s="21" t="s">
        <v>120</v>
      </c>
    </row>
    <row r="9">
      <c r="A9" s="23" t="s">
        <v>121</v>
      </c>
      <c r="B9" s="10" t="s">
        <v>122</v>
      </c>
      <c r="C9" s="10" t="s">
        <v>123</v>
      </c>
      <c r="D9" s="10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0" t="s">
        <v>129</v>
      </c>
      <c r="J9" s="10" t="s">
        <v>130</v>
      </c>
      <c r="K9" s="10" t="s">
        <v>131</v>
      </c>
      <c r="L9" s="10" t="s">
        <v>132</v>
      </c>
      <c r="M9" s="10" t="s">
        <v>133</v>
      </c>
    </row>
    <row r="11">
      <c r="A11" s="25" t="s">
        <v>135</v>
      </c>
      <c r="B11" s="27"/>
      <c r="C11" s="28"/>
    </row>
    <row r="13">
      <c r="E13" s="29" t="s">
        <v>136</v>
      </c>
      <c r="G13" s="31" t="s">
        <v>138</v>
      </c>
    </row>
    <row r="14">
      <c r="A14" s="32" t="s">
        <v>139</v>
      </c>
      <c r="B14" s="34"/>
      <c r="C14" s="35"/>
      <c r="E14" s="37" t="s">
        <v>140</v>
      </c>
      <c r="F14" s="38"/>
      <c r="G14" s="38"/>
      <c r="H14" s="38"/>
      <c r="I14" s="39"/>
    </row>
    <row r="15">
      <c r="A15" s="40" t="s">
        <v>141</v>
      </c>
      <c r="B15" s="42" t="s">
        <v>143</v>
      </c>
      <c r="E15" s="44" t="s">
        <v>144</v>
      </c>
      <c r="F15" s="45"/>
      <c r="G15" s="45"/>
      <c r="H15" s="34"/>
      <c r="I15" s="47" t="b">
        <v>0</v>
      </c>
    </row>
    <row r="16">
      <c r="A16" s="48" t="s">
        <v>145</v>
      </c>
      <c r="B16" s="50"/>
      <c r="E16" s="52" t="s">
        <v>147</v>
      </c>
      <c r="F16" s="45"/>
      <c r="G16" s="45"/>
      <c r="H16" s="34"/>
      <c r="I16" s="47" t="b">
        <v>0</v>
      </c>
    </row>
    <row r="17">
      <c r="A17" s="48" t="s">
        <v>149</v>
      </c>
      <c r="B17" s="53" t="s">
        <v>150</v>
      </c>
      <c r="E17" s="52" t="s">
        <v>151</v>
      </c>
      <c r="F17" s="45"/>
      <c r="G17" s="45"/>
      <c r="H17" s="34"/>
      <c r="I17" s="47" t="b">
        <v>0</v>
      </c>
    </row>
    <row r="18">
      <c r="A18" s="56" t="s">
        <v>153</v>
      </c>
      <c r="B18" s="57"/>
      <c r="E18" s="52" t="s">
        <v>154</v>
      </c>
      <c r="F18" s="45"/>
      <c r="G18" s="45"/>
      <c r="H18" s="34"/>
      <c r="I18" s="47" t="b">
        <v>0</v>
      </c>
    </row>
    <row r="19">
      <c r="A19" s="56" t="s">
        <v>157</v>
      </c>
      <c r="B19" s="59" t="s">
        <v>150</v>
      </c>
      <c r="E19" s="52" t="s">
        <v>158</v>
      </c>
      <c r="F19" s="45"/>
      <c r="G19" s="45"/>
      <c r="H19" s="34"/>
      <c r="I19" s="47" t="b">
        <v>0</v>
      </c>
    </row>
    <row r="20">
      <c r="E20" s="44" t="s">
        <v>161</v>
      </c>
      <c r="F20" s="45"/>
      <c r="G20" s="45"/>
      <c r="H20" s="34"/>
      <c r="I20" s="61" t="b">
        <v>0</v>
      </c>
    </row>
    <row r="21">
      <c r="A21" s="62"/>
      <c r="B21" s="62"/>
      <c r="C21" s="62"/>
      <c r="E21" s="63"/>
      <c r="F21" s="63"/>
      <c r="G21" s="63"/>
      <c r="H21" s="63"/>
    </row>
    <row r="22">
      <c r="A22" s="62"/>
      <c r="B22" s="62"/>
      <c r="C22" s="62"/>
      <c r="E22" s="63"/>
      <c r="F22" s="63"/>
      <c r="G22" s="63"/>
      <c r="H22" s="63"/>
    </row>
    <row r="23">
      <c r="A23" s="62"/>
      <c r="B23" s="62"/>
      <c r="C23" s="62"/>
      <c r="E23" s="63"/>
      <c r="F23" s="63"/>
      <c r="G23" s="63"/>
      <c r="H23" s="63"/>
    </row>
    <row r="24">
      <c r="A24" s="62"/>
      <c r="B24" s="62"/>
      <c r="C24" s="62"/>
      <c r="E24" s="63"/>
    </row>
    <row r="25">
      <c r="A25" s="64" t="s">
        <v>167</v>
      </c>
      <c r="B25" s="45"/>
      <c r="C25" s="34"/>
      <c r="E25" s="65" t="s">
        <v>170</v>
      </c>
      <c r="F25" s="66"/>
      <c r="G25" s="66"/>
      <c r="H25" s="66"/>
      <c r="I25" s="66"/>
      <c r="J25" s="66"/>
      <c r="K25" s="66"/>
      <c r="L25" s="67"/>
    </row>
    <row r="26" ht="42.75" customHeight="1">
      <c r="A26" s="68" t="s">
        <v>172</v>
      </c>
      <c r="B26" s="69">
        <f>COUNTA($B$2:$M$9)</f>
        <v>96</v>
      </c>
      <c r="C26" s="71" t="s">
        <v>177</v>
      </c>
      <c r="E26" s="74"/>
      <c r="F26" s="75"/>
      <c r="G26" s="75"/>
      <c r="H26" s="75"/>
      <c r="I26" s="75"/>
      <c r="J26" s="75"/>
      <c r="K26" s="75"/>
      <c r="L26" s="77"/>
    </row>
    <row r="27" ht="59.25" customHeight="1">
      <c r="A27" s="68" t="s">
        <v>179</v>
      </c>
      <c r="B27" s="79">
        <v>1.2</v>
      </c>
      <c r="C27" s="71" t="s">
        <v>180</v>
      </c>
      <c r="E27" s="81"/>
      <c r="L27" s="82"/>
    </row>
    <row r="28">
      <c r="E28" s="81"/>
      <c r="L28" s="82"/>
    </row>
    <row r="29">
      <c r="E29" s="81"/>
      <c r="L29" s="82"/>
    </row>
    <row r="30">
      <c r="A30" s="84" t="s">
        <v>181</v>
      </c>
      <c r="B30" s="38"/>
      <c r="C30" s="39"/>
      <c r="E30" s="81"/>
      <c r="L30" s="82"/>
    </row>
    <row r="31">
      <c r="A31" s="85" t="s">
        <v>182</v>
      </c>
      <c r="B31" s="86" t="s">
        <v>183</v>
      </c>
      <c r="C31" s="87" t="s">
        <v>184</v>
      </c>
      <c r="E31" s="81"/>
      <c r="L31" s="82"/>
    </row>
    <row r="32">
      <c r="A32" s="88" t="s">
        <v>145</v>
      </c>
      <c r="B32" s="89">
        <v>10.0</v>
      </c>
      <c r="C32" s="90">
        <f t="shared" ref="C32:C34" si="1">B32*$B$26*$B$27</f>
        <v>1152</v>
      </c>
      <c r="E32" s="81"/>
      <c r="L32" s="82"/>
    </row>
    <row r="33">
      <c r="A33" s="88" t="s">
        <v>186</v>
      </c>
      <c r="B33" s="89">
        <v>4.0</v>
      </c>
      <c r="C33" s="90">
        <f t="shared" si="1"/>
        <v>460.8</v>
      </c>
      <c r="E33" s="81"/>
      <c r="L33" s="82"/>
    </row>
    <row r="34">
      <c r="A34" s="88" t="s">
        <v>187</v>
      </c>
      <c r="B34" s="89">
        <v>1.0</v>
      </c>
      <c r="C34" s="90">
        <f t="shared" si="1"/>
        <v>115.2</v>
      </c>
      <c r="E34" s="81"/>
      <c r="L34" s="82"/>
    </row>
    <row r="35">
      <c r="A35" s="94" t="s">
        <v>189</v>
      </c>
      <c r="B35" s="96">
        <f t="shared" ref="B35:C35" si="2">sum(B32:B34)</f>
        <v>15</v>
      </c>
      <c r="C35" s="90">
        <f t="shared" si="2"/>
        <v>1728</v>
      </c>
      <c r="E35" s="81"/>
      <c r="L35" s="82"/>
    </row>
    <row r="36">
      <c r="A36" s="99" t="s">
        <v>192</v>
      </c>
      <c r="B36" s="100">
        <v>8.0</v>
      </c>
      <c r="C36" s="102">
        <f>C35/B36</f>
        <v>216</v>
      </c>
      <c r="E36" s="81"/>
      <c r="L36" s="82"/>
    </row>
    <row r="37">
      <c r="E37" s="81"/>
      <c r="L37" s="82"/>
    </row>
    <row r="38">
      <c r="E38" s="81"/>
      <c r="L38" s="82"/>
    </row>
    <row r="39">
      <c r="E39" s="81"/>
      <c r="L39" s="82"/>
    </row>
    <row r="40">
      <c r="E40" s="81"/>
      <c r="L40" s="82"/>
    </row>
    <row r="41">
      <c r="E41" s="81"/>
      <c r="L41" s="82"/>
    </row>
    <row r="42">
      <c r="A42" s="62"/>
      <c r="B42" s="62"/>
      <c r="C42" s="62"/>
      <c r="E42" s="103" t="s">
        <v>194</v>
      </c>
      <c r="F42" s="104"/>
      <c r="G42" s="104"/>
      <c r="H42" s="104"/>
      <c r="I42" s="104"/>
      <c r="J42" s="104"/>
      <c r="K42" s="104"/>
      <c r="L42" s="105"/>
    </row>
    <row r="43">
      <c r="A43" s="62"/>
      <c r="B43" s="62"/>
      <c r="C43" s="62"/>
    </row>
    <row r="44">
      <c r="A44" s="106"/>
      <c r="B44" s="107"/>
      <c r="C44" s="106"/>
    </row>
    <row r="45">
      <c r="A45" s="108"/>
      <c r="B45" s="110"/>
      <c r="C45" s="111"/>
    </row>
    <row r="46">
      <c r="A46" s="108"/>
      <c r="B46" s="110"/>
      <c r="C46" s="111"/>
    </row>
    <row r="47">
      <c r="A47" s="107"/>
      <c r="B47" s="106"/>
      <c r="C47" s="111"/>
    </row>
    <row r="48">
      <c r="A48" s="62"/>
      <c r="B48" s="62"/>
      <c r="C48" s="62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3" t="s">
        <v>2</v>
      </c>
    </row>
    <row r="4">
      <c r="A4" s="3" t="s">
        <v>4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10</v>
      </c>
    </row>
    <row r="9">
      <c r="A9" s="3" t="s">
        <v>11</v>
      </c>
    </row>
    <row r="10">
      <c r="A10" s="3" t="s">
        <v>12</v>
      </c>
    </row>
    <row r="11">
      <c r="A11" s="3" t="s">
        <v>14</v>
      </c>
    </row>
    <row r="12">
      <c r="A12" s="3" t="s">
        <v>15</v>
      </c>
    </row>
    <row r="13">
      <c r="A13" s="3" t="s">
        <v>17</v>
      </c>
    </row>
    <row r="14">
      <c r="A14" s="3" t="s">
        <v>18</v>
      </c>
    </row>
    <row r="15">
      <c r="A15" s="3" t="s">
        <v>19</v>
      </c>
    </row>
    <row r="16">
      <c r="A16" s="3" t="s">
        <v>20</v>
      </c>
    </row>
  </sheetData>
  <drawing r:id="rId1"/>
</worksheet>
</file>