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<sst xmlns="http://schemas.openxmlformats.org/spreadsheetml/2006/main" count="332" uniqueCount="203">
  <si>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Step</t>
  </si>
  <si>
    <t>NAME</t>
  </si>
  <si>
    <t>DESCRIPTION</t>
  </si>
  <si>
    <t>QC and setting thresholds</t>
  </si>
  <si>
    <t>COPY</t>
  </si>
  <si>
    <t>When the run is complete, eject the plate and throw it in the garbage.</t>
  </si>
  <si>
    <t xml:space="preserve">make a copy of this and put it in the "weekly_report_input_folder" that corresponds to the correct year and week. </t>
  </si>
  <si>
    <t>RENAME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</si>
  <si>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</si>
  <si>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</si>
  <si>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</si>
  <si>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</si>
  <si>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</si>
  <si>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</si>
  <si>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Do the same thing for the other target (WNV or SLEV).</t>
  </si>
  <si>
    <t>Click “analyze” in the top right corner.</t>
  </si>
  <si>
    <t>Check that the negative controls have undetermined Ct values</t>
  </si>
  <si>
    <t>take samples from the datasheet folder and use the platemap converter to get into platemap format</t>
  </si>
  <si>
    <t>Check that the positive controls have low Ct values (typically around 20 ct)</t>
  </si>
  <si>
    <t>PASTE</t>
  </si>
  <si>
    <t>Check the standards to ensure that they highest copies have the highest ct values</t>
  </si>
  <si>
    <t>paste your platemap into the appropriate location in the rna and/or pcr sheet</t>
  </si>
  <si>
    <t>Plug in a USB to the laptop (need to unplug the mouse).</t>
  </si>
  <si>
    <t>Under the export tab, click browse, select USB (Ebel lab computer is not on the internet), click export.</t>
  </si>
  <si>
    <t>COMPLETE</t>
  </si>
  <si>
    <t>Close file, click save if prompted.</t>
  </si>
  <si>
    <t>Fill out all highlighted sections and rename this copied file with the "plate # or p#" in the title. This will be the platemap input in the pipeline</t>
  </si>
  <si>
    <t>*</t>
  </si>
  <si>
    <t>A</t>
  </si>
  <si>
    <t>Don't change the names of the sheets</t>
  </si>
  <si>
    <t>CSU-26259</t>
  </si>
  <si>
    <t>CSU-26267</t>
  </si>
  <si>
    <t>CSU-26275</t>
  </si>
  <si>
    <t>CSU-26283</t>
  </si>
  <si>
    <t>CSU-26291</t>
  </si>
  <si>
    <t>CSU-26299</t>
  </si>
  <si>
    <t>CSU-26307</t>
  </si>
  <si>
    <t>CSU-26315</t>
  </si>
  <si>
    <t>CSU-26323</t>
  </si>
  <si>
    <t>CSU-26331</t>
  </si>
  <si>
    <t>CSU-26339</t>
  </si>
  <si>
    <t>wnv_std_1e6</t>
  </si>
  <si>
    <t>added in pcr*</t>
  </si>
  <si>
    <t>B</t>
  </si>
  <si>
    <t>CSU-26260</t>
  </si>
  <si>
    <t>CSU-26268</t>
  </si>
  <si>
    <t>CSU-26276</t>
  </si>
  <si>
    <t>CSU-26284</t>
  </si>
  <si>
    <t>CSU-26292</t>
  </si>
  <si>
    <t>CSU-26300</t>
  </si>
  <si>
    <t>CSU-26308</t>
  </si>
  <si>
    <t>CSU-26316</t>
  </si>
  <si>
    <t>CSU-26324</t>
  </si>
  <si>
    <t>CSU-26332</t>
  </si>
  <si>
    <t>CSU-26340</t>
  </si>
  <si>
    <t>wnv_std_1e4</t>
  </si>
  <si>
    <t>C</t>
  </si>
  <si>
    <t>CSU-26261</t>
  </si>
  <si>
    <t>CSU-26269</t>
  </si>
  <si>
    <t>CSU-26277</t>
  </si>
  <si>
    <t>CSU-26285</t>
  </si>
  <si>
    <t>CSU-26293</t>
  </si>
  <si>
    <t>CSU-26301</t>
  </si>
  <si>
    <t>CSU-26309</t>
  </si>
  <si>
    <t>CSU-26317</t>
  </si>
  <si>
    <t>CSU-26325</t>
  </si>
  <si>
    <t>CSU-26333</t>
  </si>
  <si>
    <t>CSU-26341</t>
  </si>
  <si>
    <t>wnv_std_1e2</t>
  </si>
  <si>
    <t>D</t>
  </si>
  <si>
    <t>CSU-26262</t>
  </si>
  <si>
    <t>CSU-26270</t>
  </si>
  <si>
    <t>CSU-26278</t>
  </si>
  <si>
    <t>CSU-26286</t>
  </si>
  <si>
    <t>CSU-26294</t>
  </si>
  <si>
    <t>CSU-26302</t>
  </si>
  <si>
    <t>CSU-26310</t>
  </si>
  <si>
    <t>CSU-26318</t>
  </si>
  <si>
    <t>CSU-26326</t>
  </si>
  <si>
    <t>CSU-26334</t>
  </si>
  <si>
    <t>CSU-26342</t>
  </si>
  <si>
    <t>slev_std_1e6</t>
  </si>
  <si>
    <t>E</t>
  </si>
  <si>
    <t>CSU-26263</t>
  </si>
  <si>
    <t>CSU-26271</t>
  </si>
  <si>
    <t>CSU-26279</t>
  </si>
  <si>
    <t>CSU-26287</t>
  </si>
  <si>
    <t>CSU-26295</t>
  </si>
  <si>
    <t>CSU-26303</t>
  </si>
  <si>
    <t>CSU-26311</t>
  </si>
  <si>
    <t>CSU-26319</t>
  </si>
  <si>
    <t>CSU-26327</t>
  </si>
  <si>
    <t>CSU-26335</t>
  </si>
  <si>
    <t>BOU-00411</t>
  </si>
  <si>
    <t>slev_std_1e4</t>
  </si>
  <si>
    <t>F</t>
  </si>
  <si>
    <t>CSU-26264</t>
  </si>
  <si>
    <t>CSU-26272</t>
  </si>
  <si>
    <t>CSU-26280</t>
  </si>
  <si>
    <t>CSU-26288</t>
  </si>
  <si>
    <t>CSU-26296</t>
  </si>
  <si>
    <t>CSU-26304</t>
  </si>
  <si>
    <t>CSU-26312</t>
  </si>
  <si>
    <t>CSU-26320</t>
  </si>
  <si>
    <t>CSU-26328</t>
  </si>
  <si>
    <t>CSU-26336</t>
  </si>
  <si>
    <t>BOU-00412</t>
  </si>
  <si>
    <t>slev_std_1e2</t>
  </si>
  <si>
    <t>G</t>
  </si>
  <si>
    <t>CSU-26265</t>
  </si>
  <si>
    <t>CSU-26273</t>
  </si>
  <si>
    <t>CSU-26281</t>
  </si>
  <si>
    <t>CSU-26289</t>
  </si>
  <si>
    <t>CSU-26297</t>
  </si>
  <si>
    <t>CSU-26305</t>
  </si>
  <si>
    <t>CSU-26313</t>
  </si>
  <si>
    <t>CSU-26321</t>
  </si>
  <si>
    <t>CSU-26329</t>
  </si>
  <si>
    <t>CSU-26337</t>
  </si>
  <si>
    <t>BOU-00413</t>
  </si>
  <si>
    <t>neg pcr ctrl</t>
  </si>
  <si>
    <t>H</t>
  </si>
  <si>
    <t>CSU-26266</t>
  </si>
  <si>
    <t>CSU-26274</t>
  </si>
  <si>
    <t>CSU-26282</t>
  </si>
  <si>
    <t>CSU-26290</t>
  </si>
  <si>
    <t>CSU-26298</t>
  </si>
  <si>
    <t>CSU-26306</t>
  </si>
  <si>
    <t>CSU-26314</t>
  </si>
  <si>
    <t>CSU-26322</t>
  </si>
  <si>
    <t>CSU-26330</t>
  </si>
  <si>
    <t>CSU-26338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</si>
  <si>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</si>
  <si>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</si>
  <si>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</si>
  <si>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</si>
  <si>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</si>
  <si>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</si>
  <si>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</si>
  <si>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pos extract ctl</t>
  </si>
  <si>
    <t>SUPPLIES</t>
  </si>
  <si>
    <t>ethanol added to SPR (check mark on bottle)</t>
  </si>
  <si>
    <t>SS - Multiplex qRT-PCR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</si>
  <si>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</si>
  <si>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</si>
  <si>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</si>
  <si>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</si>
  <si>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</si>
  <si>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</si>
  <si>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</si>
  <si>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</si>
  <si>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</si>
  <si>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positive extraction control</t>
  </si>
  <si>
    <t>Isopropanol</t>
  </si>
  <si>
    <t>beads and proteanase K thoroughly mixed prior to dispensing</t>
  </si>
  <si>
    <t>Mastermix</t>
  </si>
  <si>
    <t>Proteanase K</t>
  </si>
  <si>
    <t>maintenance plate run done prior to sample run</t>
  </si>
  <si>
    <t>neg pcr control added</t>
  </si>
  <si>
    <t>linear acrylamide</t>
  </si>
  <si>
    <t>A1 of sample plate oriented to A1 in machine</t>
  </si>
  <si>
    <t>primer probe</t>
  </si>
  <si>
    <t>magbind beads</t>
  </si>
  <si>
    <t>Return tip plate to top of robot</t>
  </si>
  <si>
    <t>standards added</t>
  </si>
  <si>
    <t>SPR</t>
  </si>
  <si>
    <t>RT enzyme</t>
  </si>
  <si>
    <t>VHB, SPR and SAMPLE Plates liquid in sink plates in gargabe</t>
  </si>
  <si>
    <t>Reagents put back in -4 C</t>
  </si>
  <si>
    <t>VHB</t>
  </si>
  <si>
    <t>Elution plate sealed with microseal B and in freezer/fridge or immediately processed</t>
  </si>
  <si>
    <t>standards</t>
  </si>
  <si>
    <t>baseline threshold changed to 34000 and hit Analyze</t>
  </si>
  <si>
    <t>dfh20</t>
  </si>
  <si>
    <t>Export .xls file with named "SS-y####-w#-p#-pcr"</t>
  </si>
  <si>
    <t>RXN INPUT</t>
  </si>
  <si>
    <t>RUN NOTES</t>
  </si>
  <si>
    <t>N samples</t>
  </si>
  <si>
    <t>(non blank values in platemap, excluding standards and neg pcr ctrl)</t>
  </si>
  <si>
    <t>non blank values in platemap</t>
  </si>
  <si>
    <t>Overage</t>
  </si>
  <si>
    <t>% over recommended to ensure enough volume for pipetting</t>
  </si>
  <si>
    <t>RXN CALCULATOR</t>
  </si>
  <si>
    <t xml:space="preserve"> MM1 Reagent</t>
  </si>
  <si>
    <t xml:space="preserve"> Sample MM1</t>
  </si>
  <si>
    <t>1X</t>
  </si>
  <si>
    <t>Total Reaction</t>
  </si>
  <si>
    <t>Added?</t>
  </si>
  <si>
    <t>TNA lysis buffer</t>
  </si>
  <si>
    <t>Primer probe</t>
  </si>
  <si>
    <t>RT</t>
  </si>
  <si>
    <t>isopropanol</t>
  </si>
  <si>
    <t>total</t>
  </si>
  <si>
    <t>Mini MM tube # and V</t>
  </si>
  <si>
    <t>Sample MM2</t>
  </si>
  <si>
    <t>use the space above to write any anomalies with the run as a whole or notes about particular samples.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</si>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</sst>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1.0"/>
      <color rgb="FF000000"/>
      <name val="Arial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u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Border="1" applyFont="1"/>
    <xf borderId="0" fillId="0" fontId="5" numFmtId="0" xfId="0" applyAlignment="1" applyFont="1">
      <alignment readingOrder="0"/>
    </xf>
    <xf borderId="2" fillId="2" fontId="6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center"/>
    </xf>
    <xf borderId="3" fillId="2" fontId="6" numFmtId="0" xfId="0" applyAlignment="1" applyBorder="1" applyFill="1" applyFont="1">
      <alignment readingOrder="0"/>
    </xf>
    <xf borderId="4" fillId="2" fontId="6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5" fillId="3" fontId="4" numFmtId="0" xfId="0" applyAlignment="1" applyBorder="1" applyFill="1" applyFont="1">
      <alignment readingOrder="0"/>
    </xf>
    <xf borderId="5" fillId="3" fontId="7" numFmtId="0" xfId="0" applyAlignment="1" applyBorder="1" applyFill="1" applyFont="1">
      <alignment readingOrder="0" vertical="bottom"/>
    </xf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5" fillId="4" fontId="4" numFmtId="0" xfId="0" applyBorder="1" applyFill="1" applyFont="1"/>
    <xf borderId="8" fillId="0" fontId="10" numFmtId="0" xfId="0" applyBorder="1" applyFont="1"/>
    <xf borderId="5" fillId="5" fontId="4" numFmtId="0" xfId="0" applyBorder="1" applyFill="1" applyFont="1"/>
    <xf borderId="5" fillId="6" fontId="4" numFmtId="0" xfId="0" applyBorder="1" applyFill="1" applyFont="1"/>
    <xf borderId="9" fillId="0" fontId="10" numFmtId="0" xfId="0" applyBorder="1" applyFont="1"/>
    <xf borderId="6" fillId="0" fontId="8" numFmtId="0" xfId="0" applyAlignment="1" applyBorder="1" applyFont="1">
      <alignment readingOrder="0"/>
    </xf>
    <xf borderId="10" fillId="2" fontId="6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7" fillId="3" fontId="4" numFmtId="0" xfId="0" applyAlignment="1" applyBorder="1" applyFill="1" applyFont="1">
      <alignment readingOrder="0"/>
    </xf>
    <xf borderId="11" fillId="0" fontId="14" numFmtId="0" xfId="0" applyAlignment="1" applyBorder="1" applyFont="1">
      <alignment horizontal="center" readingOrder="0"/>
    </xf>
    <xf borderId="12" fillId="0" fontId="10" numFmtId="0" xfId="0" applyBorder="1" applyFont="1"/>
    <xf borderId="12" fillId="3" fontId="4" numFmtId="0" xfId="0" applyBorder="1" applyFill="1" applyFont="1"/>
    <xf borderId="13" fillId="7" fontId="15" numFmtId="0" xfId="0" applyAlignment="1" applyBorder="1" applyFill="1" applyFont="1">
      <alignment horizontal="center" readingOrder="0"/>
    </xf>
    <xf borderId="14" fillId="0" fontId="10" numFmtId="0" xfId="0" applyBorder="1" applyFont="1"/>
    <xf borderId="15" fillId="0" fontId="10" numFmtId="0" xfId="0" applyBorder="1" applyFont="1"/>
    <xf borderId="4" fillId="0" fontId="4" numFmtId="0" xfId="0" applyAlignment="1" applyBorder="1" applyFont="1">
      <alignment readingOrder="0"/>
    </xf>
    <xf borderId="16" fillId="0" fontId="10" numFmtId="0" xfId="0" applyBorder="1" applyFont="1"/>
    <xf borderId="17" fillId="3" fontId="4" numFmtId="0" xfId="0" applyAlignment="1" applyBorder="1" applyFill="1" applyFont="1">
      <alignment readingOrder="0"/>
    </xf>
    <xf borderId="12" fillId="3" fontId="4" numFmtId="0" xfId="0" applyAlignment="1" applyBorder="1" applyFill="1" applyFont="1">
      <alignment readingOrder="0"/>
    </xf>
    <xf borderId="18" fillId="0" fontId="4" numFmtId="0" xfId="0" applyAlignment="1" applyBorder="1" applyFont="1">
      <alignment readingOrder="0"/>
    </xf>
    <xf borderId="19" fillId="0" fontId="10" numFmtId="0" xfId="0" applyBorder="1" applyFont="1"/>
    <xf borderId="0" fillId="0" fontId="6" numFmtId="0" xfId="0" applyAlignment="1" applyFont="1">
      <alignment readingOrder="0"/>
    </xf>
    <xf borderId="20" fillId="0" fontId="10" numFmtId="0" xfId="0" applyBorder="1" applyFont="1"/>
    <xf borderId="6" fillId="3" fontId="4" numFmtId="0" xfId="0" applyAlignment="1" applyBorder="1" applyFill="1" applyFont="1">
      <alignment readingOrder="0"/>
    </xf>
    <xf borderId="21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21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 vertical="bottom"/>
    </xf>
    <xf borderId="22" fillId="8" fontId="15" numFmtId="0" xfId="0" applyAlignment="1" applyBorder="1" applyFill="1" applyFont="1">
      <alignment horizontal="center" readingOrder="0"/>
    </xf>
    <xf borderId="6" fillId="3" fontId="4" numFmtId="0" xfId="0" applyBorder="1" applyFill="1" applyFont="1"/>
    <xf borderId="0" fillId="0" fontId="15" numFmtId="0" xfId="0" applyAlignment="1" applyFont="1">
      <alignment horizontal="center" readingOrder="0"/>
    </xf>
    <xf borderId="13" fillId="8" fontId="15" numFmtId="0" xfId="0" applyAlignment="1" applyBorder="1" applyFill="1" applyFont="1">
      <alignment horizontal="center" readingOrder="0"/>
    </xf>
    <xf borderId="6" fillId="3" fontId="7" numFmtId="0" xfId="0" applyAlignment="1" applyBorder="1" applyFill="1" applyFont="1">
      <alignment horizontal="center" vertical="bottom"/>
    </xf>
    <xf borderId="18" fillId="0" fontId="7" numFmtId="0" xfId="0" applyAlignment="1" applyBorder="1" applyFont="1">
      <alignment readingOrder="0" vertical="bottom"/>
    </xf>
    <xf borderId="6" fillId="3" fontId="7" numFmtId="0" xfId="0" applyAlignment="1" applyBorder="1" applyFill="1" applyFont="1">
      <alignment horizontal="center" readingOrder="0"/>
    </xf>
    <xf borderId="21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18" fillId="0" fontId="7" numFmtId="0" xfId="0" applyAlignment="1" applyBorder="1" applyFont="1">
      <alignment vertical="bottom"/>
    </xf>
    <xf borderId="6" fillId="3" fontId="7" numFmtId="49" xfId="0" applyAlignment="1" applyBorder="1" applyFill="1" applyFont="1" applyNumberForma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17" fillId="3" fontId="7" numFmtId="49" xfId="0" applyAlignment="1" applyBorder="1" applyFill="1" applyFont="1" applyNumberFormat="1">
      <alignment horizontal="center" vertical="bottom"/>
    </xf>
    <xf borderId="24" fillId="0" fontId="4" numFmtId="0" xfId="0" applyAlignment="1" applyBorder="1" applyFont="1">
      <alignment readingOrder="0"/>
    </xf>
    <xf borderId="25" fillId="0" fontId="10" numFmtId="0" xfId="0" applyBorder="1" applyFont="1"/>
    <xf borderId="17" fillId="3" fontId="7" numFmtId="49" xfId="0" applyAlignment="1" applyBorder="1" applyFill="1" applyFont="1" applyNumberFormat="1">
      <alignment horizontal="center" readingOrder="0" vertical="bottom"/>
    </xf>
    <xf borderId="26" fillId="0" fontId="10" numFmtId="0" xfId="0" applyBorder="1" applyFont="1"/>
    <xf borderId="17" fillId="3" fontId="4" numFmtId="0" xfId="0" applyBorder="1" applyFill="1" applyFont="1"/>
    <xf borderId="17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7" fillId="3" fontId="7" numFmtId="0" xfId="0" applyAlignment="1" applyBorder="1" applyFill="1" applyFont="1">
      <alignment horizontal="center" readingOrder="0"/>
    </xf>
    <xf borderId="22" fillId="7" fontId="18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readingOrder="0"/>
    </xf>
    <xf borderId="1" fillId="7" fontId="15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6" numFmtId="0" xfId="0" applyAlignment="1" applyBorder="1" applyFont="1">
      <alignment readingOrder="0" shrinkToFit="0" vertical="bottom" wrapText="1"/>
    </xf>
    <xf borderId="22" fillId="8" fontId="18" numFmtId="0" xfId="0" applyAlignment="1" applyBorder="1" applyFill="1" applyFont="1">
      <alignment horizontal="center" readingOrder="0" vertical="bottom"/>
    </xf>
    <xf borderId="5" fillId="0" fontId="4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4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4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3" fillId="8" fontId="18" numFmtId="0" xfId="0" applyAlignment="1" applyBorder="1" applyFill="1" applyFont="1">
      <alignment horizontal="center" readingOrder="0" vertical="bottom"/>
    </xf>
    <xf borderId="13" fillId="7" fontId="18" numFmtId="0" xfId="0" applyAlignment="1" applyBorder="1" applyFill="1" applyFont="1">
      <alignment horizontal="center" readingOrder="0" vertical="bottom"/>
    </xf>
    <xf borderId="21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21" fillId="0" fontId="22" numFmtId="0" xfId="0" applyAlignment="1" applyBorder="1" applyFont="1">
      <alignment horizontal="center" readingOrder="0" shrinkToFit="0" vertical="bottom" wrapText="1"/>
    </xf>
    <xf borderId="21" fillId="0" fontId="22" numFmtId="0" xfId="0" applyAlignment="1" applyBorder="1" applyFont="1">
      <alignment horizontal="center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4" numFmtId="0" xfId="0" applyFill="1" applyFont="1"/>
    <xf borderId="21" fillId="0" fontId="20" numFmtId="0" xfId="0" applyAlignment="1" applyBorder="1" applyFont="1">
      <alignment horizontal="center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30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21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0" fillId="0" fontId="4" numFmtId="0" xfId="0" applyAlignment="1" applyBorder="1" applyFont="1">
      <alignment readingOrder="0"/>
    </xf>
    <xf borderId="31" fillId="0" fontId="4" numFmtId="0" xfId="0" applyBorder="1" applyFont="1"/>
    <xf borderId="32" fillId="0" fontId="4" numFmtId="0" xfId="0" applyBorder="1" applyFont="1"/>
    <xf borderId="21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0" fillId="3" fontId="4" numFmtId="0" xfId="0" applyAlignment="1" applyFill="1" applyFont="1">
      <alignment readingOrder="0"/>
    </xf>
    <xf borderId="21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6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3" t="s">
        <v>4</v>
      </c>
      <c r="C2" s="1" t="s">
        <v>6</v>
      </c>
    </row>
    <row r="3">
      <c r="A3" s="1">
        <v>2.0</v>
      </c>
      <c r="B3" s="3" t="s">
        <v>7</v>
      </c>
      <c r="C3" s="1" t="s">
        <v>13</v>
      </c>
    </row>
    <row r="4">
      <c r="A4" s="1"/>
      <c r="B4" s="3"/>
      <c r="C4" s="1" t="s">
        <v>17</v>
      </c>
    </row>
    <row r="5">
      <c r="A5" s="1">
        <v>3.0</v>
      </c>
      <c r="B5" s="3" t="s">
        <v>19</v>
      </c>
      <c r="C5" s="1" t="s">
        <v>21</v>
      </c>
    </row>
    <row r="6">
      <c r="A6" s="1">
        <v>4.0</v>
      </c>
      <c r="B6" s="3" t="s">
        <v>24</v>
      </c>
      <c r="C6" s="1" t="s">
        <v>26</v>
      </c>
    </row>
    <row r="7">
      <c r="A7" s="7"/>
      <c r="B7" s="7"/>
      <c r="C7" s="7"/>
    </row>
    <row r="8">
      <c r="B8" s="1" t="s">
        <v>27</v>
      </c>
      <c r="C8" s="10" t="s">
        <v>29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8">
        <v>12.0</v>
      </c>
    </row>
    <row r="2">
      <c r="A2" s="9" t="s">
        <v>28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4" t="s">
        <v>41</v>
      </c>
      <c r="N2" s="15" t="s">
        <v>42</v>
      </c>
    </row>
    <row r="3">
      <c r="A3" s="9" t="s">
        <v>43</v>
      </c>
      <c r="B3" s="12" t="s">
        <v>44</v>
      </c>
      <c r="C3" s="12" t="s">
        <v>45</v>
      </c>
      <c r="D3" s="12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4" t="s">
        <v>55</v>
      </c>
      <c r="N3" s="17"/>
    </row>
    <row r="4">
      <c r="A4" s="9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4" t="s">
        <v>68</v>
      </c>
      <c r="N4" s="17"/>
    </row>
    <row r="5">
      <c r="A5" s="9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4" t="s">
        <v>81</v>
      </c>
      <c r="N5" s="17"/>
    </row>
    <row r="6">
      <c r="A6" s="9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4" t="s">
        <v>94</v>
      </c>
      <c r="N6" s="17"/>
    </row>
    <row r="7">
      <c r="A7" s="9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4" t="s">
        <v>107</v>
      </c>
      <c r="N7" s="20"/>
    </row>
    <row r="8">
      <c r="A8" s="9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21" t="s">
        <v>120</v>
      </c>
    </row>
    <row r="9">
      <c r="A9" s="22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133</v>
      </c>
    </row>
    <row r="11">
      <c r="F11" s="23" t="s">
        <v>134</v>
      </c>
      <c r="G11" s="24"/>
      <c r="H11" s="25" t="s">
        <v>135</v>
      </c>
    </row>
    <row r="12">
      <c r="A12" s="27" t="s">
        <v>136</v>
      </c>
      <c r="B12" s="28"/>
      <c r="C12" s="29"/>
      <c r="F12" s="30" t="s">
        <v>137</v>
      </c>
      <c r="G12" s="31"/>
      <c r="H12" s="31"/>
      <c r="I12" s="31"/>
      <c r="J12" s="32"/>
    </row>
    <row r="13">
      <c r="F13" s="33" t="s">
        <v>138</v>
      </c>
      <c r="I13" s="34"/>
      <c r="J13" s="35" t="b">
        <v>1</v>
      </c>
    </row>
    <row r="14">
      <c r="A14" s="30" t="s">
        <v>140</v>
      </c>
      <c r="B14" s="32"/>
      <c r="F14" s="37" t="s">
        <v>141</v>
      </c>
      <c r="G14" s="38"/>
      <c r="H14" s="38"/>
      <c r="I14" s="40"/>
      <c r="J14" s="41" t="b">
        <v>1</v>
      </c>
    </row>
    <row r="15">
      <c r="A15" s="42" t="s">
        <v>143</v>
      </c>
      <c r="B15" s="43" t="s">
        <v>144</v>
      </c>
      <c r="F15" s="37" t="s">
        <v>145</v>
      </c>
      <c r="G15" s="38"/>
      <c r="H15" s="38"/>
      <c r="I15" s="40"/>
      <c r="J15" s="41" t="b">
        <v>1</v>
      </c>
    </row>
    <row r="16">
      <c r="A16" s="45"/>
      <c r="B16" s="46"/>
      <c r="F16" s="37" t="s">
        <v>146</v>
      </c>
      <c r="G16" s="38"/>
      <c r="H16" s="38"/>
      <c r="I16" s="40"/>
      <c r="J16" s="48" t="b">
        <v>0</v>
      </c>
    </row>
    <row r="17">
      <c r="A17" s="45" t="s">
        <v>147</v>
      </c>
      <c r="B17" s="46" t="s">
        <v>148</v>
      </c>
      <c r="F17" s="37" t="s">
        <v>149</v>
      </c>
      <c r="G17" s="38"/>
      <c r="H17" s="38"/>
      <c r="I17" s="40"/>
      <c r="J17" s="48" t="b">
        <v>0</v>
      </c>
    </row>
    <row r="18">
      <c r="A18" s="45" t="s">
        <v>150</v>
      </c>
      <c r="B18" s="51"/>
      <c r="F18" s="37" t="s">
        <v>151</v>
      </c>
      <c r="G18" s="38"/>
      <c r="H18" s="38"/>
      <c r="I18" s="40"/>
      <c r="J18" s="48" t="b">
        <v>0</v>
      </c>
    </row>
    <row r="19">
      <c r="A19" s="45" t="s">
        <v>153</v>
      </c>
      <c r="B19" s="51"/>
      <c r="F19" s="37" t="s">
        <v>154</v>
      </c>
      <c r="G19" s="38"/>
      <c r="H19" s="38"/>
      <c r="I19" s="40"/>
      <c r="J19" s="48" t="b">
        <v>0</v>
      </c>
    </row>
    <row r="20">
      <c r="A20" s="45" t="s">
        <v>156</v>
      </c>
      <c r="B20" s="51"/>
      <c r="F20" s="37" t="s">
        <v>157</v>
      </c>
      <c r="G20" s="38"/>
      <c r="H20" s="38"/>
      <c r="I20" s="40"/>
      <c r="J20" s="48" t="b">
        <v>0</v>
      </c>
    </row>
    <row r="21">
      <c r="A21" s="45" t="s">
        <v>159</v>
      </c>
      <c r="B21" s="51"/>
      <c r="F21" s="37" t="s">
        <v>160</v>
      </c>
      <c r="G21" s="38"/>
      <c r="H21" s="38"/>
      <c r="I21" s="40"/>
      <c r="J21" s="48" t="b">
        <v>0</v>
      </c>
    </row>
    <row r="22">
      <c r="A22" s="45" t="s">
        <v>162</v>
      </c>
      <c r="B22" s="51"/>
      <c r="F22" s="37" t="s">
        <v>163</v>
      </c>
      <c r="G22" s="38"/>
      <c r="H22" s="38"/>
      <c r="I22" s="40"/>
      <c r="J22" s="48" t="b">
        <v>0</v>
      </c>
    </row>
    <row r="23">
      <c r="A23" s="45" t="s">
        <v>165</v>
      </c>
      <c r="B23" s="51"/>
      <c r="F23" s="37" t="s">
        <v>167</v>
      </c>
      <c r="G23" s="38"/>
      <c r="H23" s="38"/>
      <c r="I23" s="40"/>
      <c r="J23" s="48" t="b">
        <v>0</v>
      </c>
    </row>
    <row r="24">
      <c r="A24" s="45" t="s">
        <v>169</v>
      </c>
      <c r="B24" s="51"/>
      <c r="F24" s="60" t="s">
        <v>170</v>
      </c>
      <c r="G24" s="61"/>
      <c r="H24" s="61"/>
      <c r="I24" s="63"/>
      <c r="J24" s="64" t="b">
        <v>0</v>
      </c>
    </row>
    <row r="25">
      <c r="A25" s="58" t="s">
        <v>173</v>
      </c>
      <c r="B25" s="65"/>
    </row>
    <row r="26">
      <c r="A26" s="66"/>
      <c r="B26" s="67"/>
      <c r="C26" s="66"/>
    </row>
    <row r="28" ht="50.25" customHeight="1">
      <c r="A28" s="69" t="s">
        <v>175</v>
      </c>
      <c r="B28" s="38"/>
      <c r="C28" s="40"/>
      <c r="F28" s="71" t="s">
        <v>176</v>
      </c>
      <c r="G28" s="72"/>
      <c r="H28" s="72"/>
      <c r="I28" s="72"/>
      <c r="J28" s="72"/>
      <c r="K28" s="72"/>
      <c r="L28" s="72"/>
      <c r="M28" s="73"/>
    </row>
    <row r="29" ht="23.25" customHeight="1">
      <c r="A29" s="74" t="s">
        <v>177</v>
      </c>
      <c r="B29" s="76">
        <f>COUNTA($B$2:$L$9,$M$9)</f>
        <v>89</v>
      </c>
      <c r="C29" s="77" t="s">
        <v>178</v>
      </c>
      <c r="F29" s="78"/>
      <c r="G29" s="79"/>
      <c r="H29" s="79"/>
      <c r="I29" s="79"/>
      <c r="J29" s="79"/>
      <c r="K29" s="79"/>
      <c r="L29" s="79"/>
      <c r="M29" s="80"/>
    </row>
    <row r="30">
      <c r="A30" s="74" t="s">
        <v>180</v>
      </c>
      <c r="B30" s="81">
        <v>1.2</v>
      </c>
      <c r="C30" s="77" t="s">
        <v>181</v>
      </c>
      <c r="F30" s="82"/>
      <c r="M30" s="83"/>
    </row>
    <row r="31">
      <c r="A31" s="84"/>
      <c r="B31" s="84"/>
      <c r="C31" s="85"/>
      <c r="F31" s="82"/>
      <c r="M31" s="83"/>
    </row>
    <row r="32">
      <c r="A32" s="87" t="s">
        <v>182</v>
      </c>
      <c r="B32" s="31"/>
      <c r="C32" s="32"/>
      <c r="F32" s="82"/>
      <c r="M32" s="83"/>
    </row>
    <row r="33">
      <c r="A33" s="88" t="s">
        <v>184</v>
      </c>
      <c r="B33" s="89" t="s">
        <v>185</v>
      </c>
      <c r="C33" s="90" t="s">
        <v>186</v>
      </c>
      <c r="D33" s="91" t="s">
        <v>187</v>
      </c>
      <c r="F33" s="82"/>
      <c r="M33" s="83"/>
    </row>
    <row r="34">
      <c r="A34" s="93" t="s">
        <v>188</v>
      </c>
      <c r="B34" s="95">
        <v>60.0</v>
      </c>
      <c r="C34" s="96">
        <f t="shared" ref="C34:C37" si="1">B34*$B$29*$B$30</f>
        <v>6408</v>
      </c>
      <c r="D34" s="97" t="b">
        <v>0</v>
      </c>
      <c r="F34" s="82"/>
      <c r="M34" s="83"/>
    </row>
    <row r="35">
      <c r="A35" s="93" t="s">
        <v>159</v>
      </c>
      <c r="B35" s="95">
        <v>1.0</v>
      </c>
      <c r="C35" s="96">
        <f t="shared" si="1"/>
        <v>106.8</v>
      </c>
      <c r="D35" s="97" t="b">
        <v>0</v>
      </c>
      <c r="F35" s="82"/>
      <c r="M35" s="83"/>
    </row>
    <row r="36">
      <c r="A36" s="93" t="s">
        <v>191</v>
      </c>
      <c r="B36" s="95">
        <v>70.0</v>
      </c>
      <c r="C36" s="96">
        <f t="shared" si="1"/>
        <v>7476</v>
      </c>
      <c r="D36" s="97" t="b">
        <v>0</v>
      </c>
      <c r="F36" s="82"/>
      <c r="M36" s="83"/>
    </row>
    <row r="37">
      <c r="A37" s="98" t="s">
        <v>192</v>
      </c>
      <c r="B37" s="100">
        <f>sum(B34:B36)</f>
        <v>131</v>
      </c>
      <c r="C37" s="96">
        <f t="shared" si="1"/>
        <v>13990.8</v>
      </c>
      <c r="F37" s="82"/>
      <c r="M37" s="83"/>
    </row>
    <row r="38">
      <c r="A38" s="103" t="s">
        <v>193</v>
      </c>
      <c r="B38" s="67">
        <v>8.0</v>
      </c>
      <c r="C38" s="105">
        <f>C37/B38</f>
        <v>1748.85</v>
      </c>
      <c r="F38" s="82"/>
      <c r="M38" s="83"/>
    </row>
    <row r="39">
      <c r="A39" s="106"/>
      <c r="B39" s="66"/>
      <c r="C39" s="105"/>
      <c r="F39" s="82"/>
      <c r="M39" s="83"/>
    </row>
    <row r="40">
      <c r="A40" s="107" t="s">
        <v>194</v>
      </c>
      <c r="B40" s="108" t="s">
        <v>185</v>
      </c>
      <c r="C40" s="109" t="s">
        <v>186</v>
      </c>
      <c r="F40" s="82"/>
      <c r="M40" s="83"/>
    </row>
    <row r="41">
      <c r="A41" s="113" t="s">
        <v>196</v>
      </c>
      <c r="B41" s="114">
        <v>5.0</v>
      </c>
      <c r="C41" s="96">
        <f t="shared" ref="C41:C43" si="2">B41*$B$29*$B$30</f>
        <v>534</v>
      </c>
      <c r="D41" s="120" t="b">
        <v>0</v>
      </c>
      <c r="F41" s="82"/>
      <c r="M41" s="83"/>
    </row>
    <row r="42">
      <c r="A42" s="113" t="s">
        <v>197</v>
      </c>
      <c r="B42" s="114">
        <v>5.0</v>
      </c>
      <c r="C42" s="96">
        <f t="shared" si="2"/>
        <v>534</v>
      </c>
      <c r="D42" s="97" t="b">
        <v>0</v>
      </c>
      <c r="F42" s="82"/>
      <c r="M42" s="83"/>
    </row>
    <row r="43">
      <c r="A43" s="121" t="s">
        <v>192</v>
      </c>
      <c r="B43" s="122">
        <f>sum(B41:B42)</f>
        <v>10</v>
      </c>
      <c r="C43" s="96">
        <f t="shared" si="2"/>
        <v>1068</v>
      </c>
      <c r="D43" s="97" t="b">
        <v>0</v>
      </c>
      <c r="F43" s="82"/>
      <c r="M43" s="83"/>
    </row>
    <row r="44">
      <c r="A44" s="101" t="s">
        <v>193</v>
      </c>
      <c r="B44" s="102">
        <v>8.0</v>
      </c>
      <c r="C44" s="104">
        <f>C43/B44</f>
        <v>133.5</v>
      </c>
      <c r="F44" s="82"/>
      <c r="M44" s="83"/>
    </row>
    <row r="45">
      <c r="F45" s="110" t="s">
        <v>195</v>
      </c>
      <c r="G45" s="111"/>
      <c r="H45" s="111"/>
      <c r="I45" s="111"/>
      <c r="J45" s="111"/>
      <c r="K45" s="111"/>
      <c r="L45" s="111"/>
      <c r="M45" s="112"/>
    </row>
    <row r="46">
      <c r="A46" s="123" t="s">
        <v>198</v>
      </c>
      <c r="B46" s="123" t="s">
        <v>199</v>
      </c>
      <c r="C46" s="123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97" t="b">
        <v>0</v>
      </c>
    </row>
    <row r="48">
      <c r="A48" s="124" t="s">
        <v>169</v>
      </c>
      <c r="B48" s="125">
        <v>200.0</v>
      </c>
      <c r="C48" s="126">
        <f t="shared" ref="C48:C49" si="3">B48*$B$29*$B$30</f>
        <v>21360</v>
      </c>
      <c r="D48" s="97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9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9" t="s">
        <v>28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6" t="s">
        <v>41</v>
      </c>
    </row>
    <row r="3">
      <c r="A3" s="9" t="s">
        <v>43</v>
      </c>
      <c r="B3" s="12" t="s">
        <v>44</v>
      </c>
      <c r="C3" s="12" t="s">
        <v>45</v>
      </c>
      <c r="D3" s="12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8" t="s">
        <v>55</v>
      </c>
    </row>
    <row r="4">
      <c r="A4" s="9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9" t="s">
        <v>68</v>
      </c>
    </row>
    <row r="5">
      <c r="A5" s="9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6" t="s">
        <v>81</v>
      </c>
    </row>
    <row r="6">
      <c r="A6" s="9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8" t="s">
        <v>94</v>
      </c>
    </row>
    <row r="7">
      <c r="A7" s="9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9" t="s">
        <v>107</v>
      </c>
    </row>
    <row r="8">
      <c r="A8" s="9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26" t="s">
        <v>120</v>
      </c>
    </row>
    <row r="9">
      <c r="A9" s="22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139</v>
      </c>
    </row>
    <row r="11">
      <c r="A11" s="27" t="s">
        <v>136</v>
      </c>
      <c r="B11" s="28"/>
      <c r="C11" s="36"/>
    </row>
    <row r="13">
      <c r="E13" s="39" t="s">
        <v>134</v>
      </c>
      <c r="G13" s="44" t="s">
        <v>142</v>
      </c>
    </row>
    <row r="14">
      <c r="A14" s="47" t="s">
        <v>140</v>
      </c>
      <c r="B14" s="40"/>
      <c r="C14" s="49"/>
      <c r="E14" s="50" t="s">
        <v>137</v>
      </c>
      <c r="F14" s="31"/>
      <c r="G14" s="31"/>
      <c r="H14" s="31"/>
      <c r="I14" s="32"/>
    </row>
    <row r="15">
      <c r="A15" s="42" t="s">
        <v>143</v>
      </c>
      <c r="B15" s="43" t="s">
        <v>144</v>
      </c>
      <c r="E15" s="52" t="s">
        <v>152</v>
      </c>
      <c r="F15" s="38"/>
      <c r="G15" s="38"/>
      <c r="H15" s="40"/>
      <c r="I15" s="53" t="b">
        <v>0</v>
      </c>
    </row>
    <row r="16">
      <c r="A16" s="54" t="s">
        <v>155</v>
      </c>
      <c r="B16" s="55"/>
      <c r="E16" s="56" t="s">
        <v>158</v>
      </c>
      <c r="F16" s="38"/>
      <c r="G16" s="38"/>
      <c r="H16" s="40"/>
      <c r="I16" s="53" t="b">
        <v>0</v>
      </c>
    </row>
    <row r="17">
      <c r="A17" s="54" t="s">
        <v>161</v>
      </c>
      <c r="B17" s="57" t="s">
        <v>148</v>
      </c>
      <c r="E17" s="56" t="s">
        <v>164</v>
      </c>
      <c r="F17" s="38"/>
      <c r="G17" s="38"/>
      <c r="H17" s="40"/>
      <c r="I17" s="53" t="b">
        <v>0</v>
      </c>
    </row>
    <row r="18">
      <c r="A18" s="58" t="s">
        <v>166</v>
      </c>
      <c r="B18" s="59"/>
      <c r="E18" s="56" t="s">
        <v>168</v>
      </c>
      <c r="F18" s="38"/>
      <c r="G18" s="38"/>
      <c r="H18" s="40"/>
      <c r="I18" s="53" t="b">
        <v>0</v>
      </c>
    </row>
    <row r="19">
      <c r="A19" s="58" t="s">
        <v>171</v>
      </c>
      <c r="B19" s="62" t="s">
        <v>148</v>
      </c>
      <c r="E19" s="56" t="s">
        <v>172</v>
      </c>
      <c r="F19" s="38"/>
      <c r="G19" s="38"/>
      <c r="H19" s="40"/>
      <c r="I19" s="53" t="b">
        <v>0</v>
      </c>
    </row>
    <row r="20">
      <c r="E20" s="52" t="s">
        <v>174</v>
      </c>
      <c r="F20" s="38"/>
      <c r="G20" s="38"/>
      <c r="H20" s="40"/>
      <c r="I20" s="68" t="b">
        <v>0</v>
      </c>
    </row>
    <row r="21">
      <c r="A21" s="66"/>
      <c r="B21" s="66"/>
      <c r="C21" s="66"/>
      <c r="E21" s="70"/>
      <c r="F21" s="70"/>
      <c r="G21" s="70"/>
      <c r="H21" s="70"/>
    </row>
    <row r="22">
      <c r="A22" s="66"/>
      <c r="B22" s="66"/>
      <c r="C22" s="66"/>
      <c r="E22" s="70"/>
      <c r="F22" s="70"/>
      <c r="G22" s="70"/>
      <c r="H22" s="70"/>
    </row>
    <row r="23">
      <c r="A23" s="66"/>
      <c r="B23" s="66"/>
      <c r="C23" s="66"/>
      <c r="E23" s="70"/>
      <c r="F23" s="70"/>
      <c r="G23" s="70"/>
      <c r="H23" s="70"/>
    </row>
    <row r="24">
      <c r="A24" s="66"/>
      <c r="B24" s="66"/>
      <c r="C24" s="66"/>
      <c r="E24" s="70"/>
    </row>
    <row r="25">
      <c r="A25" s="75" t="s">
        <v>175</v>
      </c>
      <c r="B25" s="38"/>
      <c r="C25" s="40"/>
      <c r="E25" s="71" t="s">
        <v>176</v>
      </c>
      <c r="F25" s="72"/>
      <c r="G25" s="72"/>
      <c r="H25" s="72"/>
      <c r="I25" s="72"/>
      <c r="J25" s="72"/>
      <c r="K25" s="72"/>
      <c r="L25" s="73"/>
    </row>
    <row r="26" ht="42.75" customHeight="1">
      <c r="A26" s="74" t="s">
        <v>177</v>
      </c>
      <c r="B26" s="76">
        <f>COUNTA($B$2:$M$9)</f>
        <v>96</v>
      </c>
      <c r="C26" s="77" t="s">
        <v>179</v>
      </c>
      <c r="E26" s="78"/>
      <c r="F26" s="79"/>
      <c r="G26" s="79"/>
      <c r="H26" s="79"/>
      <c r="I26" s="79"/>
      <c r="J26" s="79"/>
      <c r="K26" s="79"/>
      <c r="L26" s="80"/>
    </row>
    <row r="27" ht="59.25" customHeight="1">
      <c r="A27" s="74" t="s">
        <v>180</v>
      </c>
      <c r="B27" s="81">
        <v>1.2</v>
      </c>
      <c r="C27" s="77" t="s">
        <v>181</v>
      </c>
      <c r="E27" s="82"/>
      <c r="L27" s="83"/>
    </row>
    <row r="28">
      <c r="E28" s="82"/>
      <c r="L28" s="83"/>
    </row>
    <row r="29">
      <c r="E29" s="82"/>
      <c r="L29" s="83"/>
    </row>
    <row r="30">
      <c r="A30" s="86" t="s">
        <v>182</v>
      </c>
      <c r="B30" s="31"/>
      <c r="C30" s="32"/>
      <c r="E30" s="82"/>
      <c r="L30" s="83"/>
    </row>
    <row r="31">
      <c r="A31" s="88" t="s">
        <v>183</v>
      </c>
      <c r="B31" s="89" t="s">
        <v>185</v>
      </c>
      <c r="C31" s="90" t="s">
        <v>186</v>
      </c>
      <c r="E31" s="82"/>
      <c r="L31" s="83"/>
    </row>
    <row r="32">
      <c r="A32" s="92" t="s">
        <v>155</v>
      </c>
      <c r="B32" s="94">
        <v>10.0</v>
      </c>
      <c r="C32" s="96">
        <f t="shared" ref="C32:C34" si="1">B32*$B$26*$B$27</f>
        <v>1152</v>
      </c>
      <c r="E32" s="82"/>
      <c r="L32" s="83"/>
    </row>
    <row r="33">
      <c r="A33" s="92" t="s">
        <v>189</v>
      </c>
      <c r="B33" s="94">
        <v>4.0</v>
      </c>
      <c r="C33" s="96">
        <f t="shared" si="1"/>
        <v>460.8</v>
      </c>
      <c r="E33" s="82"/>
      <c r="L33" s="83"/>
    </row>
    <row r="34">
      <c r="A34" s="92" t="s">
        <v>190</v>
      </c>
      <c r="B34" s="94">
        <v>1.0</v>
      </c>
      <c r="C34" s="96">
        <f t="shared" si="1"/>
        <v>115.2</v>
      </c>
      <c r="E34" s="82"/>
      <c r="L34" s="83"/>
    </row>
    <row r="35">
      <c r="A35" s="98" t="s">
        <v>192</v>
      </c>
      <c r="B35" s="99">
        <f t="shared" ref="B35:C35" si="2">sum(B32:B34)</f>
        <v>15</v>
      </c>
      <c r="C35" s="96">
        <f t="shared" si="2"/>
        <v>1728</v>
      </c>
      <c r="E35" s="82"/>
      <c r="L35" s="83"/>
    </row>
    <row r="36">
      <c r="A36" s="101" t="s">
        <v>193</v>
      </c>
      <c r="B36" s="102">
        <v>8.0</v>
      </c>
      <c r="C36" s="104">
        <f>C35/B36</f>
        <v>216</v>
      </c>
      <c r="E36" s="82"/>
      <c r="L36" s="83"/>
    </row>
    <row r="37">
      <c r="E37" s="82"/>
      <c r="L37" s="83"/>
    </row>
    <row r="38">
      <c r="E38" s="82"/>
      <c r="L38" s="83"/>
    </row>
    <row r="39">
      <c r="E39" s="82"/>
      <c r="L39" s="83"/>
    </row>
    <row r="40">
      <c r="E40" s="82"/>
      <c r="L40" s="83"/>
    </row>
    <row r="41">
      <c r="E41" s="82"/>
      <c r="L41" s="83"/>
    </row>
    <row r="42">
      <c r="A42" s="66"/>
      <c r="B42" s="66"/>
      <c r="C42" s="66"/>
      <c r="E42" s="110" t="s">
        <v>195</v>
      </c>
      <c r="F42" s="111"/>
      <c r="G42" s="111"/>
      <c r="H42" s="111"/>
      <c r="I42" s="111"/>
      <c r="J42" s="111"/>
      <c r="K42" s="111"/>
      <c r="L42" s="112"/>
    </row>
    <row r="43">
      <c r="A43" s="66"/>
      <c r="B43" s="66"/>
      <c r="C43" s="66"/>
    </row>
    <row r="44">
      <c r="A44" s="115"/>
      <c r="B44" s="116"/>
      <c r="C44" s="115"/>
    </row>
    <row r="45">
      <c r="A45" s="117"/>
      <c r="B45" s="118"/>
      <c r="C45" s="119"/>
    </row>
    <row r="46">
      <c r="A46" s="117"/>
      <c r="B46" s="118"/>
      <c r="C46" s="119"/>
    </row>
    <row r="47">
      <c r="A47" s="116"/>
      <c r="B47" s="115"/>
      <c r="C47" s="119"/>
    </row>
    <row r="48">
      <c r="A48" s="66"/>
      <c r="B48" s="66"/>
      <c r="C48" s="6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3</v>
      </c>
    </row>
    <row r="3">
      <c r="A3" s="5" t="s">
        <v>5</v>
      </c>
    </row>
    <row r="4">
      <c r="A4" s="5" t="s">
        <v>8</v>
      </c>
    </row>
    <row r="5">
      <c r="A5" s="5" t="s">
        <v>9</v>
      </c>
    </row>
    <row r="6">
      <c r="A6" s="5" t="s">
        <v>10</v>
      </c>
    </row>
    <row r="7">
      <c r="A7" s="5" t="s">
        <v>11</v>
      </c>
    </row>
    <row r="8">
      <c r="A8" s="5" t="s">
        <v>12</v>
      </c>
    </row>
    <row r="9">
      <c r="A9" s="5" t="s">
        <v>14</v>
      </c>
    </row>
    <row r="10">
      <c r="A10" s="5" t="s">
        <v>15</v>
      </c>
    </row>
    <row r="11">
      <c r="A11" s="5" t="s">
        <v>16</v>
      </c>
    </row>
    <row r="12">
      <c r="A12" s="5" t="s">
        <v>18</v>
      </c>
    </row>
    <row r="13">
      <c r="A13" s="5" t="s">
        <v>20</v>
      </c>
    </row>
    <row r="14">
      <c r="A14" s="5" t="s">
        <v>22</v>
      </c>
    </row>
    <row r="15">
      <c r="A15" s="5" t="s">
        <v>23</v>
      </c>
    </row>
    <row r="16">
      <c r="A16" s="5" t="s">
        <v>25</v>
      </c>
    </row>
  </sheetData>
  <drawing r:id="rId1"/>
</worksheet>
</file>