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<sst xmlns="http://schemas.openxmlformats.org/spreadsheetml/2006/main" count="268" uniqueCount="163">
  <si>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</si>
  <si>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</si>
  <si>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</si>
  <si>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</si>
  <si>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</si>
  <si>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</si>
  <si>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</si>
  <si>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</si>
  <si>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</si>
  <si>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</si>
  <si>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</si>
  <si>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</si>
  <si>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</si>
  <si>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</si>
  <si>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QC and setting thresholds</t>
  </si>
  <si>
    <t>CSU-25591</t>
  </si>
  <si>
    <t>CSU-25599</t>
  </si>
  <si>
    <t>CSU-25607</t>
  </si>
  <si>
    <t>CSU-25615</t>
  </si>
  <si>
    <t>BOU-00377</t>
  </si>
  <si>
    <t>RMRP-000994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</si>
  <si>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</si>
  <si>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</si>
  <si>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>The software automatically sets thresholds, but it can be updated manually:</t>
  </si>
  <si>
    <t>From ‘All Targets’ dropdown, select your target (SLEV or WNV)</t>
  </si>
  <si>
    <t>Click eye icon, unclick ‘auto’ next to threshold, and type in 34,000.</t>
  </si>
  <si>
    <t>wnv_std_1e6</t>
  </si>
  <si>
    <t>Do the same thing for the other target (WNV or SLEV).</t>
  </si>
  <si>
    <t>Click “analyze” in the top right corner.</t>
  </si>
  <si>
    <t>Plug in a USB to the laptop (need to unplug the mouse).</t>
  </si>
  <si>
    <t>added in pcr*</t>
  </si>
  <si>
    <t>Under the export tab, click browse, select USB (Ebel lab computer is not on the internet), click export.</t>
  </si>
  <si>
    <t>Close file, click save if prompted.</t>
  </si>
  <si>
    <t>B</t>
  </si>
  <si>
    <t>CSU-25592</t>
  </si>
  <si>
    <t>CSU-25600</t>
  </si>
  <si>
    <t>CSU-25608</t>
  </si>
  <si>
    <t>CSU-25616</t>
  </si>
  <si>
    <t>BOU-00378</t>
  </si>
  <si>
    <t>RMRP-000995</t>
  </si>
  <si>
    <t>wnv_std_1e4</t>
  </si>
  <si>
    <t>C</t>
  </si>
  <si>
    <t>CSU-25593</t>
  </si>
  <si>
    <t>CSU-25601</t>
  </si>
  <si>
    <t>CSU-25609</t>
  </si>
  <si>
    <t>CSU-25617</t>
  </si>
  <si>
    <t>BOU-00379</t>
  </si>
  <si>
    <t>RMRP-000996</t>
  </si>
  <si>
    <t>wnv_std_1e2</t>
  </si>
  <si>
    <t>D</t>
  </si>
  <si>
    <t>CSU-25594</t>
  </si>
  <si>
    <t>CSU-25602</t>
  </si>
  <si>
    <t>CSU-25610</t>
  </si>
  <si>
    <t>CSU-25618</t>
  </si>
  <si>
    <t>BOU-00380</t>
  </si>
  <si>
    <t>RMRP-000997</t>
  </si>
  <si>
    <t>slev_std_1e6</t>
  </si>
  <si>
    <t>E</t>
  </si>
  <si>
    <t>CSU-25595</t>
  </si>
  <si>
    <t>CSU-25603</t>
  </si>
  <si>
    <t>CSU-25611</t>
  </si>
  <si>
    <t>CSU-25619</t>
  </si>
  <si>
    <t>BOU-00381</t>
  </si>
  <si>
    <t>RMRP-000998</t>
  </si>
  <si>
    <t>slev_std_1e4</t>
  </si>
  <si>
    <t>F</t>
  </si>
  <si>
    <t>CSU-25596</t>
  </si>
  <si>
    <t>CSU-25604</t>
  </si>
  <si>
    <t>CSU-25612</t>
  </si>
  <si>
    <t>CSU-25620</t>
  </si>
  <si>
    <t>RMRP-000991</t>
  </si>
  <si>
    <t>RMRP-000999</t>
  </si>
  <si>
    <t>slev_std_1e2</t>
  </si>
  <si>
    <t>G</t>
  </si>
  <si>
    <t>CSU-25597</t>
  </si>
  <si>
    <t>CSU-25605</t>
  </si>
  <si>
    <t>CSU-25613</t>
  </si>
  <si>
    <t>CSU-25621</t>
  </si>
  <si>
    <t>RMRP-000992</t>
  </si>
  <si>
    <t>RMRP-001000</t>
  </si>
  <si>
    <t>neg pcr ctrl</t>
  </si>
  <si>
    <t>H</t>
  </si>
  <si>
    <t>CSU-25598</t>
  </si>
  <si>
    <t>CSU-25606</t>
  </si>
  <si>
    <t>CSU-25614</t>
  </si>
  <si>
    <t>CSU-25622</t>
  </si>
  <si>
    <t>RMRP-000993</t>
  </si>
  <si>
    <t>RMRP-001001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</si>
  <si>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</si>
  <si>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</si>
  <si>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</si>
  <si>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</si>
  <si>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</si>
  <si>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pos extract ctl</t>
  </si>
  <si>
    <t>PROTOCOL CHECKLIST</t>
  </si>
  <si>
    <t>take samples out of freezer to thaw</t>
  </si>
  <si>
    <t>SS - Multiplex qRT-PCR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</si>
  <si>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</si>
  <si>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</si>
  <si>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</si>
  <si>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</si>
  <si>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</si>
  <si>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</si>
  <si>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changed pipettes between samples</t>
  </si>
  <si>
    <t>positve and negative extraction controls added</t>
  </si>
  <si>
    <t>Kingfisher</t>
  </si>
  <si>
    <t>FoCo</t>
  </si>
  <si>
    <t>NA</t>
  </si>
  <si>
    <t>pipettes changed between samples</t>
  </si>
  <si>
    <t>Quantstudio</t>
  </si>
  <si>
    <t>TNA Lysis Buffer</t>
  </si>
  <si>
    <t>beads at room temp</t>
  </si>
  <si>
    <t>neg pcr control added</t>
  </si>
  <si>
    <t>Isopropanol</t>
  </si>
  <si>
    <t>beads vortexed</t>
  </si>
  <si>
    <t>Mastermix</t>
  </si>
  <si>
    <t>Proteanase K</t>
  </si>
  <si>
    <t>standards added</t>
  </si>
  <si>
    <t>beads and proteanase K thoroughly mixed prior to dispensing</t>
  </si>
  <si>
    <t>primer probe</t>
  </si>
  <si>
    <t>linear acrylamide</t>
  </si>
  <si>
    <t>maintenance plate run done prior to sample run</t>
  </si>
  <si>
    <t>Reagents put back in -4 C</t>
  </si>
  <si>
    <t>RT enzyme</t>
  </si>
  <si>
    <t>magbind beads</t>
  </si>
  <si>
    <t>A1 of sample plate oriented to A1 in machine</t>
  </si>
  <si>
    <t>SPR</t>
  </si>
  <si>
    <t>baseline threshold changed to 34000 and hit Analyze</t>
  </si>
  <si>
    <t>Return tip plate to top of robot</t>
  </si>
  <si>
    <t>standards</t>
  </si>
  <si>
    <t>VHB</t>
  </si>
  <si>
    <t>VHB, SPR and SAMPLE Plates liquid in sink plates in gargabe</t>
  </si>
  <si>
    <t>Export .xls file with named "SS-y####-w#-p#-pcr"</t>
  </si>
  <si>
    <t>dfh20</t>
  </si>
  <si>
    <t>Elution plate sealed with microseal B and in freezer/fridge or immediately processed</t>
  </si>
  <si>
    <t>RXN INPUT</t>
  </si>
  <si>
    <t>RUN NOTES</t>
  </si>
  <si>
    <t>N samples</t>
  </si>
  <si>
    <t>non blank values in platemap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</si>
  <si>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</si>
  <si>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</si>
  <si>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</si>
  <si>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</si>
  <si>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MM1 Reagent</t>
  </si>
  <si>
    <t xml:space="preserve"> Sample MM1</t>
  </si>
  <si>
    <t>1X</t>
  </si>
  <si>
    <t>Total Reaction</t>
  </si>
  <si>
    <t>Added?</t>
  </si>
  <si>
    <t>TNA lysis buffer</t>
  </si>
  <si>
    <t>Primer probe</t>
  </si>
  <si>
    <t>RT</t>
  </si>
  <si>
    <t>isopropanol</t>
  </si>
  <si>
    <t>total</t>
  </si>
  <si>
    <t>Mini MM tube # and V</t>
  </si>
  <si>
    <t>Sample MM2</t>
  </si>
  <si>
    <t>MagBind beads</t>
  </si>
  <si>
    <t>use the space above to write any anomalies with the run as a whole or notes about particular samples.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</si>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</sst>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5" fillId="3" fontId="3" numFmtId="0" xfId="0" applyBorder="1" applyFont="1"/>
    <xf borderId="6" fillId="0" fontId="7" numFmtId="0" xfId="0" applyBorder="1" applyFont="1"/>
    <xf borderId="7" fillId="0" fontId="8" numFmtId="0" xfId="0" applyAlignment="1" applyBorder="1" applyFont="1">
      <alignment horizontal="center" shrinkToFit="0" textRotation="90" vertical="bottom" wrapText="1"/>
    </xf>
    <xf borderId="0" fillId="4" fontId="3" numFmtId="0" xfId="0" applyFill="1" applyFont="1"/>
    <xf borderId="8" fillId="0" fontId="9" numFmtId="0" xfId="0" applyBorder="1" applyFont="1"/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9" fillId="0" fontId="9" numFmtId="0" xfId="0" applyBorder="1" applyFont="1"/>
    <xf borderId="6" fillId="0" fontId="7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3" fontId="3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1" fillId="0" fontId="11" numFmtId="0" xfId="0" applyAlignment="1" applyBorder="1" applyFont="1">
      <alignment horizontal="center" readingOrder="0"/>
    </xf>
    <xf borderId="12" fillId="0" fontId="9" numFmtId="0" xfId="0" applyBorder="1" applyFont="1"/>
    <xf borderId="12" fillId="3" fontId="3" numFmtId="0" xfId="0" applyBorder="1" applyFont="1"/>
    <xf borderId="13" fillId="8" fontId="12" numFmtId="0" xfId="0" applyAlignment="1" applyBorder="1" applyFill="1" applyFont="1">
      <alignment horizontal="center" readingOrder="0"/>
    </xf>
    <xf borderId="14" fillId="0" fontId="9" numFmtId="0" xfId="0" applyBorder="1" applyFont="1"/>
    <xf borderId="15" fillId="0" fontId="9" numFmtId="0" xfId="0" applyBorder="1" applyFont="1"/>
    <xf borderId="12" fillId="3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16" fillId="0" fontId="9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9" numFmtId="0" xfId="0" applyBorder="1" applyFont="1"/>
    <xf borderId="20" fillId="0" fontId="9" numFmtId="0" xfId="0" applyBorder="1" applyFont="1"/>
    <xf borderId="6" fillId="3" fontId="3" numFmtId="0" xfId="0" applyBorder="1" applyFont="1"/>
    <xf borderId="21" fillId="0" fontId="13" numFmtId="0" xfId="0" applyAlignment="1" applyBorder="1" applyFont="1">
      <alignment horizontal="center" vertical="bottom"/>
    </xf>
    <xf borderId="13" fillId="9" fontId="12" numFmtId="0" xfId="0" applyAlignment="1" applyBorder="1" applyFill="1" applyFont="1">
      <alignment horizontal="center" readingOrder="0"/>
    </xf>
    <xf borderId="5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vertical="bottom"/>
    </xf>
    <xf borderId="21" fillId="0" fontId="14" numFmtId="0" xfId="0" applyAlignment="1" applyBorder="1" applyFont="1">
      <alignment vertical="bottom"/>
    </xf>
    <xf borderId="5" fillId="3" fontId="14" numFmtId="0" xfId="0" applyAlignment="1" applyBorder="1" applyFont="1">
      <alignment readingOrder="0" vertical="bottom"/>
    </xf>
    <xf borderId="6" fillId="3" fontId="14" numFmtId="0" xfId="0" applyAlignment="1" applyBorder="1" applyFont="1">
      <alignment horizontal="center" readingOrder="0" vertical="bottom"/>
    </xf>
    <xf borderId="18" fillId="0" fontId="14" numFmtId="0" xfId="0" applyAlignment="1" applyBorder="1" applyFont="1">
      <alignment vertical="bottom"/>
    </xf>
    <xf borderId="6" fillId="3" fontId="14" numFmtId="0" xfId="0" applyAlignment="1" applyBorder="1" applyFont="1">
      <alignment horizontal="center" readingOrder="0"/>
    </xf>
    <xf borderId="21" fillId="0" fontId="14" numFmtId="0" xfId="0" applyAlignment="1" applyBorder="1" applyFont="1">
      <alignment readingOrder="0" vertical="bottom"/>
    </xf>
    <xf borderId="6" fillId="3" fontId="14" numFmtId="0" xfId="0" applyAlignment="1" applyBorder="1" applyFont="1">
      <alignment horizontal="center" vertical="bottom"/>
    </xf>
    <xf borderId="6" fillId="3" fontId="14" numFmtId="49" xfId="0" applyAlignment="1" applyBorder="1" applyFont="1" applyNumberFormat="1">
      <alignment horizontal="center" readingOrder="0" vertical="bottom"/>
    </xf>
    <xf borderId="6" fillId="3" fontId="14" numFmtId="49" xfId="0" applyAlignment="1" applyBorder="1" applyFont="1" applyNumberFormat="1">
      <alignment horizontal="center" vertical="bottom"/>
    </xf>
    <xf borderId="22" fillId="0" fontId="14" numFmtId="0" xfId="0" applyAlignment="1" applyBorder="1" applyFont="1">
      <alignment readingOrder="0" vertical="bottom"/>
    </xf>
    <xf borderId="23" fillId="3" fontId="14" numFmtId="0" xfId="0" applyAlignment="1" applyBorder="1" applyFont="1">
      <alignment readingOrder="0" vertical="bottom"/>
    </xf>
    <xf borderId="17" fillId="3" fontId="14" numFmtId="49" xfId="0" applyAlignment="1" applyBorder="1" applyFont="1" applyNumberFormat="1">
      <alignment horizontal="center" vertical="bottom"/>
    </xf>
    <xf borderId="17" fillId="3" fontId="14" numFmtId="49" xfId="0" applyAlignment="1" applyBorder="1" applyFont="1" applyNumberFormat="1">
      <alignment horizontal="center" readingOrder="0" vertical="bottom"/>
    </xf>
    <xf borderId="18" fillId="0" fontId="14" numFmtId="0" xfId="0" applyAlignment="1" applyBorder="1" applyFont="1">
      <alignment readingOrder="0" vertical="bottom"/>
    </xf>
    <xf borderId="17" fillId="3" fontId="14" numFmtId="0" xfId="0" applyAlignment="1" applyBorder="1" applyFont="1">
      <alignment horizontal="center" readingOrder="0"/>
    </xf>
    <xf borderId="0" fillId="0" fontId="14" numFmtId="0" xfId="0" applyAlignment="1" applyFont="1">
      <alignment vertical="bottom"/>
    </xf>
    <xf borderId="17" fillId="3" fontId="14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24" fillId="0" fontId="3" numFmtId="0" xfId="0" applyAlignment="1" applyBorder="1" applyFont="1">
      <alignment readingOrder="0"/>
    </xf>
    <xf borderId="25" fillId="0" fontId="9" numFmtId="0" xfId="0" applyBorder="1" applyFont="1"/>
    <xf borderId="26" fillId="9" fontId="15" numFmtId="0" xfId="0" applyAlignment="1" applyBorder="1" applyFont="1">
      <alignment horizontal="center" readingOrder="0" vertical="bottom"/>
    </xf>
    <xf borderId="27" fillId="0" fontId="9" numFmtId="0" xfId="0" applyBorder="1" applyFont="1"/>
    <xf borderId="1" fillId="8" fontId="12" numFmtId="0" xfId="0" applyAlignment="1" applyBorder="1" applyFont="1">
      <alignment horizontal="center" readingOrder="0"/>
    </xf>
    <xf borderId="0" fillId="0" fontId="14" numFmtId="0" xfId="0" applyAlignment="1" applyFont="1">
      <alignment readingOrder="0" vertical="bottom"/>
    </xf>
    <xf borderId="2" fillId="0" fontId="9" numFmtId="0" xfId="0" applyBorder="1" applyFont="1"/>
    <xf borderId="3" fillId="0" fontId="9" numFmtId="0" xfId="0" applyBorder="1" applyFont="1"/>
    <xf borderId="26" fillId="8" fontId="15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6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9" numFmtId="0" xfId="0" applyBorder="1" applyFont="1"/>
    <xf borderId="30" fillId="0" fontId="9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9" numFmtId="0" xfId="0" applyBorder="1" applyFont="1"/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readingOrder="0"/>
    </xf>
    <xf borderId="13" fillId="9" fontId="15" numFmtId="0" xfId="0" applyAlignment="1" applyBorder="1" applyFont="1">
      <alignment horizontal="center" readingOrder="0" vertical="bottom"/>
    </xf>
    <xf borderId="13" fillId="8" fontId="15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9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4" xfId="0" applyAlignment="1" applyBorder="1" applyFont="1" applyNumberFormat="1">
      <alignment horizontal="center" readingOrder="0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6" fillId="0" fontId="20" numFmtId="0" xfId="0" applyBorder="1" applyFont="1"/>
    <xf borderId="0" fillId="3" fontId="3" numFmtId="0" xfId="0" applyFont="1"/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4" fillId="0" fontId="14" numFmtId="0" xfId="0" applyAlignment="1" applyBorder="1" applyFont="1">
      <alignment readingOrder="0" vertical="bottom"/>
    </xf>
    <xf borderId="10" fillId="0" fontId="14" numFmtId="0" xfId="0" applyAlignment="1" applyBorder="1" applyFont="1">
      <alignment readingOrder="0" vertical="bottom"/>
    </xf>
    <xf borderId="32" fillId="0" fontId="14" numFmtId="0" xfId="0" applyAlignment="1" applyBorder="1" applyFont="1">
      <alignment readingOrder="0" vertical="bottom"/>
    </xf>
    <xf borderId="31" fillId="0" fontId="14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33" fillId="0" fontId="14" numFmtId="0" xfId="0" applyAlignment="1" applyBorder="1" applyFont="1">
      <alignment vertical="bottom"/>
    </xf>
    <xf borderId="21" fillId="0" fontId="21" numFmtId="0" xfId="0" applyAlignment="1" applyBorder="1" applyFont="1">
      <alignment horizontal="center" readingOrder="0" shrinkToFit="0" vertical="bottom" wrapText="1"/>
    </xf>
    <xf borderId="5" fillId="0" fontId="21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horizontal="center" readingOrder="0" shrinkToFit="0" vertical="bottom" wrapText="1"/>
    </xf>
    <xf borderId="21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0" fillId="3" fontId="3" numFmtId="0" xfId="0" applyAlignment="1" applyFont="1">
      <alignment readingOrder="0"/>
    </xf>
    <xf borderId="0" fillId="0" fontId="21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0" numFmtId="0" xfId="0" applyFont="1"/>
    <xf borderId="21" fillId="0" fontId="21" numFmtId="0" xfId="0" applyAlignment="1" applyBorder="1" applyFont="1">
      <alignment horizontal="center" shrinkToFit="0" vertical="bottom" wrapText="1"/>
    </xf>
    <xf borderId="5" fillId="0" fontId="21" numFmtId="0" xfId="0" applyAlignment="1" applyBorder="1" applyFont="1">
      <alignment horizontal="center" readingOrder="0" shrinkToFit="0" vertical="bottom" wrapText="1"/>
    </xf>
    <xf borderId="5" fillId="0" fontId="1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vertical="bottom"/>
    </xf>
    <xf borderId="5" fillId="0" fontId="14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2" pivot="0" name="rna_extracti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P3:P19" displayName="Table_1" name="Table_1" id="1">
  <tableColumns count="1">
    <tableColumn name="Column1" id="1"/>
  </tableColumns>
  <tableStyleInfo name="rna_extr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5"/>
      <c r="B6" s="5"/>
      <c r="C6" s="5"/>
    </row>
    <row r="7">
      <c r="B7" s="1" t="s">
        <v>11</v>
      </c>
      <c r="C7" s="6" t="s">
        <v>12</v>
      </c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8">
        <v>12.0</v>
      </c>
    </row>
    <row r="2">
      <c r="A2" s="9" t="s">
        <v>13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/>
      <c r="I2" s="13"/>
      <c r="J2" s="13"/>
      <c r="K2" s="13"/>
      <c r="L2" s="13"/>
      <c r="M2" s="14" t="s">
        <v>26</v>
      </c>
      <c r="N2" s="15" t="s">
        <v>30</v>
      </c>
      <c r="P2" s="16"/>
    </row>
    <row r="3">
      <c r="A3" s="9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/>
      <c r="I3" s="13"/>
      <c r="J3" s="13"/>
      <c r="K3" s="13"/>
      <c r="L3" s="13"/>
      <c r="M3" s="14" t="s">
        <v>40</v>
      </c>
      <c r="N3" s="17"/>
      <c r="P3" s="16"/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3"/>
      <c r="I4" s="13"/>
      <c r="J4" s="13"/>
      <c r="K4" s="13"/>
      <c r="L4" s="13"/>
      <c r="M4" s="14" t="s">
        <v>48</v>
      </c>
      <c r="N4" s="17"/>
      <c r="P4" s="16"/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3"/>
      <c r="I5" s="13"/>
      <c r="J5" s="13"/>
      <c r="K5" s="13"/>
      <c r="L5" s="13"/>
      <c r="M5" s="14" t="s">
        <v>56</v>
      </c>
      <c r="N5" s="17"/>
      <c r="P5" s="16"/>
    </row>
    <row r="6">
      <c r="A6" s="9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3"/>
      <c r="I6" s="13"/>
      <c r="J6" s="13"/>
      <c r="K6" s="13"/>
      <c r="L6" s="13"/>
      <c r="M6" s="14" t="s">
        <v>64</v>
      </c>
      <c r="N6" s="17"/>
      <c r="P6" s="16"/>
    </row>
    <row r="7">
      <c r="A7" s="9" t="s">
        <v>65</v>
      </c>
      <c r="B7" s="10" t="s">
        <v>66</v>
      </c>
      <c r="C7" s="10" t="s">
        <v>67</v>
      </c>
      <c r="D7" s="10" t="s">
        <v>68</v>
      </c>
      <c r="E7" s="10" t="s">
        <v>69</v>
      </c>
      <c r="F7" s="10" t="s">
        <v>70</v>
      </c>
      <c r="G7" s="10" t="s">
        <v>71</v>
      </c>
      <c r="H7" s="13"/>
      <c r="I7" s="13"/>
      <c r="J7" s="13"/>
      <c r="K7" s="13"/>
      <c r="L7" s="13"/>
      <c r="M7" s="14" t="s">
        <v>72</v>
      </c>
      <c r="N7" s="21"/>
      <c r="P7" s="16"/>
    </row>
    <row r="8">
      <c r="A8" s="9" t="s">
        <v>73</v>
      </c>
      <c r="B8" s="10" t="s">
        <v>74</v>
      </c>
      <c r="C8" s="10" t="s">
        <v>75</v>
      </c>
      <c r="D8" s="10" t="s">
        <v>76</v>
      </c>
      <c r="E8" s="10" t="s">
        <v>77</v>
      </c>
      <c r="F8" s="10" t="s">
        <v>78</v>
      </c>
      <c r="G8" s="10" t="s">
        <v>79</v>
      </c>
      <c r="H8" s="13"/>
      <c r="I8" s="13"/>
      <c r="J8" s="13"/>
      <c r="K8" s="13"/>
      <c r="L8" s="13"/>
      <c r="M8" s="22" t="s">
        <v>80</v>
      </c>
      <c r="P8" s="16"/>
    </row>
    <row r="9">
      <c r="A9" s="23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3"/>
      <c r="I9" s="13"/>
      <c r="J9" s="13"/>
      <c r="K9" s="13"/>
      <c r="L9" s="10" t="s">
        <v>88</v>
      </c>
      <c r="M9" s="10" t="s">
        <v>89</v>
      </c>
      <c r="P9" s="16"/>
    </row>
    <row r="10">
      <c r="P10" s="16"/>
    </row>
    <row r="11">
      <c r="F11" s="24" t="s">
        <v>90</v>
      </c>
      <c r="H11" s="26" t="s">
        <v>91</v>
      </c>
      <c r="P11" s="16"/>
    </row>
    <row r="12">
      <c r="A12" s="27" t="s">
        <v>92</v>
      </c>
      <c r="B12" s="28"/>
      <c r="C12" s="29"/>
      <c r="F12" s="30" t="s">
        <v>94</v>
      </c>
      <c r="G12" s="31"/>
      <c r="H12" s="31"/>
      <c r="I12" s="31"/>
      <c r="J12" s="32"/>
      <c r="P12" s="16"/>
    </row>
    <row r="13">
      <c r="F13" s="34" t="s">
        <v>95</v>
      </c>
      <c r="I13" s="35"/>
      <c r="J13" s="36" t="b">
        <v>0</v>
      </c>
      <c r="P13" s="16"/>
    </row>
    <row r="14">
      <c r="A14" s="30" t="s">
        <v>97</v>
      </c>
      <c r="B14" s="31"/>
      <c r="C14" s="32"/>
      <c r="F14" s="37" t="s">
        <v>98</v>
      </c>
      <c r="G14" s="38"/>
      <c r="H14" s="38"/>
      <c r="I14" s="39"/>
      <c r="J14" s="40" t="b">
        <v>0</v>
      </c>
      <c r="P14" s="16"/>
    </row>
    <row r="15">
      <c r="A15" s="41" t="s">
        <v>99</v>
      </c>
      <c r="B15" s="43" t="s">
        <v>100</v>
      </c>
      <c r="C15" s="44" t="s">
        <v>101</v>
      </c>
      <c r="F15" s="37" t="s">
        <v>102</v>
      </c>
      <c r="G15" s="38"/>
      <c r="H15" s="38"/>
      <c r="I15" s="39"/>
      <c r="J15" s="40" t="b">
        <v>0</v>
      </c>
      <c r="P15" s="16"/>
    </row>
    <row r="16">
      <c r="A16" s="45"/>
      <c r="B16" s="46"/>
      <c r="C16" s="47"/>
      <c r="F16" s="37" t="s">
        <v>104</v>
      </c>
      <c r="G16" s="38"/>
      <c r="H16" s="38"/>
      <c r="I16" s="39"/>
      <c r="J16" s="40" t="b">
        <v>0</v>
      </c>
      <c r="P16" s="16"/>
    </row>
    <row r="17">
      <c r="A17" s="45" t="s">
        <v>105</v>
      </c>
      <c r="B17" s="46" t="s">
        <v>106</v>
      </c>
      <c r="C17" s="47" t="s">
        <v>107</v>
      </c>
      <c r="F17" s="37" t="s">
        <v>108</v>
      </c>
      <c r="G17" s="38"/>
      <c r="H17" s="38"/>
      <c r="I17" s="39"/>
      <c r="J17" s="40" t="b">
        <v>0</v>
      </c>
      <c r="P17" s="16"/>
    </row>
    <row r="18">
      <c r="A18" s="45" t="s">
        <v>110</v>
      </c>
      <c r="B18" s="46" t="s">
        <v>106</v>
      </c>
      <c r="C18" s="51"/>
      <c r="F18" s="37" t="s">
        <v>111</v>
      </c>
      <c r="G18" s="38"/>
      <c r="H18" s="38"/>
      <c r="I18" s="39"/>
      <c r="J18" s="40" t="b">
        <v>0</v>
      </c>
      <c r="P18" s="16"/>
    </row>
    <row r="19">
      <c r="A19" s="45" t="s">
        <v>113</v>
      </c>
      <c r="B19" s="46" t="s">
        <v>106</v>
      </c>
      <c r="C19" s="51"/>
      <c r="F19" s="37" t="s">
        <v>114</v>
      </c>
      <c r="G19" s="38"/>
      <c r="H19" s="38"/>
      <c r="I19" s="39"/>
      <c r="J19" s="40" t="b">
        <v>0</v>
      </c>
      <c r="P19" s="16"/>
    </row>
    <row r="20">
      <c r="A20" s="45" t="s">
        <v>116</v>
      </c>
      <c r="B20" s="46" t="s">
        <v>106</v>
      </c>
      <c r="C20" s="51"/>
      <c r="F20" s="37" t="s">
        <v>118</v>
      </c>
      <c r="G20" s="38"/>
      <c r="H20" s="38"/>
      <c r="I20" s="39"/>
      <c r="J20" s="40" t="b">
        <v>0</v>
      </c>
      <c r="P20" s="16"/>
    </row>
    <row r="21">
      <c r="A21" s="45" t="s">
        <v>120</v>
      </c>
      <c r="B21" s="46" t="s">
        <v>106</v>
      </c>
      <c r="C21" s="51"/>
      <c r="F21" s="37" t="s">
        <v>121</v>
      </c>
      <c r="G21" s="38"/>
      <c r="H21" s="38"/>
      <c r="I21" s="39"/>
      <c r="J21" s="40" t="b">
        <v>0</v>
      </c>
      <c r="P21" s="16"/>
    </row>
    <row r="22">
      <c r="A22" s="45" t="s">
        <v>124</v>
      </c>
      <c r="B22" s="46" t="s">
        <v>106</v>
      </c>
      <c r="C22" s="51"/>
      <c r="F22" s="37" t="s">
        <v>125</v>
      </c>
      <c r="G22" s="38"/>
      <c r="H22" s="38"/>
      <c r="I22" s="39"/>
      <c r="J22" s="40" t="b">
        <v>0</v>
      </c>
      <c r="P22" s="16"/>
    </row>
    <row r="23">
      <c r="A23" s="45" t="s">
        <v>126</v>
      </c>
      <c r="B23" s="46" t="s">
        <v>106</v>
      </c>
      <c r="C23" s="51"/>
      <c r="F23" s="37" t="s">
        <v>128</v>
      </c>
      <c r="G23" s="38"/>
      <c r="H23" s="38"/>
      <c r="I23" s="39"/>
      <c r="J23" s="40" t="b">
        <v>0</v>
      </c>
      <c r="P23" s="16"/>
    </row>
    <row r="24">
      <c r="A24" s="45" t="s">
        <v>130</v>
      </c>
      <c r="B24" s="46" t="s">
        <v>106</v>
      </c>
      <c r="C24" s="51"/>
      <c r="F24" s="37" t="s">
        <v>131</v>
      </c>
      <c r="G24" s="38"/>
      <c r="H24" s="38"/>
      <c r="I24" s="39"/>
      <c r="J24" s="40" t="b">
        <v>0</v>
      </c>
      <c r="P24" s="16"/>
    </row>
    <row r="25">
      <c r="A25" s="54" t="s">
        <v>133</v>
      </c>
      <c r="B25" s="55" t="s">
        <v>106</v>
      </c>
      <c r="C25" s="61"/>
      <c r="F25" s="63" t="s">
        <v>134</v>
      </c>
      <c r="G25" s="64"/>
      <c r="H25" s="64"/>
      <c r="I25" s="66"/>
      <c r="J25" s="36" t="b">
        <v>0</v>
      </c>
    </row>
    <row r="26">
      <c r="A26" s="60"/>
      <c r="B26" s="68"/>
      <c r="C26" s="60"/>
    </row>
    <row r="28" ht="50.25" customHeight="1">
      <c r="A28" s="71" t="s">
        <v>135</v>
      </c>
      <c r="B28" s="38"/>
      <c r="C28" s="39"/>
      <c r="F28" s="67" t="s">
        <v>136</v>
      </c>
      <c r="G28" s="69"/>
      <c r="H28" s="69"/>
      <c r="I28" s="69"/>
      <c r="J28" s="69"/>
      <c r="K28" s="69"/>
      <c r="L28" s="69"/>
      <c r="M28" s="70"/>
    </row>
    <row r="29" ht="23.25" customHeight="1">
      <c r="A29" s="72" t="s">
        <v>137</v>
      </c>
      <c r="B29" s="73">
        <f>COUNTA($B$2:$L$9,$M$9)</f>
        <v>50</v>
      </c>
      <c r="C29" s="74" t="s">
        <v>139</v>
      </c>
      <c r="F29" s="75"/>
      <c r="G29" s="76"/>
      <c r="H29" s="76"/>
      <c r="I29" s="76"/>
      <c r="J29" s="76"/>
      <c r="K29" s="76"/>
      <c r="L29" s="76"/>
      <c r="M29" s="77"/>
    </row>
    <row r="30">
      <c r="A30" s="72" t="s">
        <v>140</v>
      </c>
      <c r="B30" s="78">
        <v>1.2</v>
      </c>
      <c r="C30" s="74" t="s">
        <v>141</v>
      </c>
      <c r="F30" s="79"/>
      <c r="M30" s="80"/>
    </row>
    <row r="31">
      <c r="A31" s="81"/>
      <c r="B31" s="81"/>
      <c r="C31" s="82"/>
      <c r="F31" s="79"/>
      <c r="M31" s="80"/>
    </row>
    <row r="32">
      <c r="A32" s="84" t="s">
        <v>142</v>
      </c>
      <c r="B32" s="31"/>
      <c r="C32" s="32"/>
      <c r="F32" s="79"/>
      <c r="M32" s="80"/>
    </row>
    <row r="33">
      <c r="A33" s="85" t="s">
        <v>144</v>
      </c>
      <c r="B33" s="86" t="s">
        <v>145</v>
      </c>
      <c r="C33" s="87" t="s">
        <v>146</v>
      </c>
      <c r="D33" s="88" t="s">
        <v>147</v>
      </c>
      <c r="F33" s="79"/>
      <c r="M33" s="80"/>
    </row>
    <row r="34">
      <c r="A34" s="90" t="s">
        <v>148</v>
      </c>
      <c r="B34" s="92">
        <v>60.0</v>
      </c>
      <c r="C34" s="93">
        <f t="shared" ref="C34:C37" si="1">B34*$B$29*$B$30</f>
        <v>3600</v>
      </c>
      <c r="D34" s="94" t="b">
        <v>0</v>
      </c>
      <c r="F34" s="79"/>
      <c r="M34" s="80"/>
    </row>
    <row r="35">
      <c r="A35" s="90" t="s">
        <v>120</v>
      </c>
      <c r="B35" s="92">
        <v>1.0</v>
      </c>
      <c r="C35" s="93">
        <f t="shared" si="1"/>
        <v>60</v>
      </c>
      <c r="D35" s="94" t="b">
        <v>0</v>
      </c>
      <c r="F35" s="79"/>
      <c r="M35" s="80"/>
    </row>
    <row r="36">
      <c r="A36" s="90" t="s">
        <v>151</v>
      </c>
      <c r="B36" s="92">
        <v>70.0</v>
      </c>
      <c r="C36" s="93">
        <f t="shared" si="1"/>
        <v>4200</v>
      </c>
      <c r="D36" s="94" t="b">
        <v>0</v>
      </c>
      <c r="F36" s="79"/>
      <c r="M36" s="80"/>
    </row>
    <row r="37">
      <c r="A37" s="95" t="s">
        <v>152</v>
      </c>
      <c r="B37" s="96">
        <f>sum(B34:B36)</f>
        <v>131</v>
      </c>
      <c r="C37" s="93">
        <f t="shared" si="1"/>
        <v>7860</v>
      </c>
      <c r="F37" s="79"/>
      <c r="M37" s="80"/>
    </row>
    <row r="38">
      <c r="A38" s="98" t="s">
        <v>153</v>
      </c>
      <c r="B38" s="68">
        <v>8.0</v>
      </c>
      <c r="C38" s="101">
        <f>C37/B38</f>
        <v>982.5</v>
      </c>
      <c r="F38" s="79"/>
      <c r="M38" s="80"/>
    </row>
    <row r="39">
      <c r="A39" s="102"/>
      <c r="B39" s="60"/>
      <c r="C39" s="101"/>
      <c r="F39" s="79"/>
      <c r="M39" s="80"/>
    </row>
    <row r="40">
      <c r="A40" s="104" t="s">
        <v>154</v>
      </c>
      <c r="B40" s="105" t="s">
        <v>145</v>
      </c>
      <c r="C40" s="106" t="s">
        <v>146</v>
      </c>
      <c r="F40" s="79"/>
      <c r="M40" s="80"/>
    </row>
    <row r="41">
      <c r="A41" s="107" t="s">
        <v>155</v>
      </c>
      <c r="B41" s="108">
        <v>5.0</v>
      </c>
      <c r="C41" s="93">
        <f t="shared" ref="C41:C43" si="2">B41*$B$29*$B$30</f>
        <v>300</v>
      </c>
      <c r="D41" s="112" t="b">
        <v>0</v>
      </c>
      <c r="F41" s="79"/>
      <c r="M41" s="80"/>
    </row>
    <row r="42">
      <c r="A42" s="107" t="s">
        <v>157</v>
      </c>
      <c r="B42" s="108">
        <v>5.0</v>
      </c>
      <c r="C42" s="93">
        <f t="shared" si="2"/>
        <v>300</v>
      </c>
      <c r="D42" s="94" t="b">
        <v>0</v>
      </c>
      <c r="F42" s="79"/>
      <c r="M42" s="80"/>
    </row>
    <row r="43">
      <c r="A43" s="118" t="s">
        <v>152</v>
      </c>
      <c r="B43" s="119">
        <f>sum(B41:B42)</f>
        <v>10</v>
      </c>
      <c r="C43" s="93">
        <f t="shared" si="2"/>
        <v>600</v>
      </c>
      <c r="D43" s="94" t="b">
        <v>0</v>
      </c>
      <c r="F43" s="79"/>
      <c r="M43" s="80"/>
    </row>
    <row r="44">
      <c r="A44" s="99" t="s">
        <v>153</v>
      </c>
      <c r="B44" s="100">
        <v>8.0</v>
      </c>
      <c r="C44" s="103">
        <f>C43/B44</f>
        <v>75</v>
      </c>
      <c r="F44" s="79"/>
      <c r="M44" s="80"/>
    </row>
    <row r="45">
      <c r="F45" s="109" t="s">
        <v>156</v>
      </c>
      <c r="G45" s="110"/>
      <c r="H45" s="110"/>
      <c r="I45" s="110"/>
      <c r="J45" s="110"/>
      <c r="K45" s="110"/>
      <c r="L45" s="110"/>
      <c r="M45" s="111"/>
    </row>
    <row r="46">
      <c r="A46" s="120" t="s">
        <v>158</v>
      </c>
      <c r="B46" s="120" t="s">
        <v>159</v>
      </c>
      <c r="C46" s="120" t="s">
        <v>160</v>
      </c>
    </row>
    <row r="47">
      <c r="A47" s="121" t="s">
        <v>161</v>
      </c>
      <c r="B47" s="122">
        <v>200.0</v>
      </c>
      <c r="C47" s="123">
        <f>2*B47*$B$29*$B$30</f>
        <v>24000</v>
      </c>
      <c r="D47" s="94" t="b">
        <v>0</v>
      </c>
    </row>
    <row r="48">
      <c r="A48" s="121" t="s">
        <v>130</v>
      </c>
      <c r="B48" s="122">
        <v>200.0</v>
      </c>
      <c r="C48" s="123">
        <f t="shared" ref="C48:C49" si="3">B48*$B$29*$B$30</f>
        <v>12000</v>
      </c>
      <c r="D48" s="94" t="b">
        <v>0</v>
      </c>
    </row>
    <row r="49">
      <c r="A49" s="124" t="s">
        <v>162</v>
      </c>
      <c r="B49" s="123">
        <v>50.0</v>
      </c>
      <c r="C49" s="123">
        <f t="shared" si="3"/>
        <v>3000</v>
      </c>
      <c r="D49" s="94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3"/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</row>
    <row r="2">
      <c r="A2" s="9" t="s">
        <v>13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/>
      <c r="I2" s="13"/>
      <c r="J2" s="13"/>
      <c r="K2" s="13"/>
      <c r="L2" s="13"/>
      <c r="M2" s="18" t="s">
        <v>26</v>
      </c>
    </row>
    <row r="3">
      <c r="A3" s="9" t="s">
        <v>33</v>
      </c>
      <c r="B3" s="10" t="s">
        <v>34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  <c r="H3" s="10"/>
      <c r="I3" s="13"/>
      <c r="J3" s="13"/>
      <c r="K3" s="13"/>
      <c r="L3" s="13"/>
      <c r="M3" s="19" t="s">
        <v>40</v>
      </c>
    </row>
    <row r="4">
      <c r="A4" s="9" t="s">
        <v>41</v>
      </c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3"/>
      <c r="I4" s="13"/>
      <c r="J4" s="13"/>
      <c r="K4" s="13"/>
      <c r="L4" s="13"/>
      <c r="M4" s="20" t="s">
        <v>48</v>
      </c>
    </row>
    <row r="5">
      <c r="A5" s="9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F5" s="10" t="s">
        <v>54</v>
      </c>
      <c r="G5" s="10" t="s">
        <v>55</v>
      </c>
      <c r="H5" s="13"/>
      <c r="I5" s="13"/>
      <c r="J5" s="13"/>
      <c r="K5" s="13"/>
      <c r="L5" s="13"/>
      <c r="M5" s="18" t="s">
        <v>56</v>
      </c>
    </row>
    <row r="6">
      <c r="A6" s="9" t="s">
        <v>57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3"/>
      <c r="I6" s="13"/>
      <c r="J6" s="13"/>
      <c r="K6" s="13"/>
      <c r="L6" s="13"/>
      <c r="M6" s="19" t="s">
        <v>64</v>
      </c>
    </row>
    <row r="7">
      <c r="A7" s="9" t="s">
        <v>65</v>
      </c>
      <c r="B7" s="10" t="s">
        <v>66</v>
      </c>
      <c r="C7" s="10" t="s">
        <v>67</v>
      </c>
      <c r="D7" s="10" t="s">
        <v>68</v>
      </c>
      <c r="E7" s="10" t="s">
        <v>69</v>
      </c>
      <c r="F7" s="10" t="s">
        <v>70</v>
      </c>
      <c r="G7" s="10" t="s">
        <v>71</v>
      </c>
      <c r="H7" s="13"/>
      <c r="I7" s="13"/>
      <c r="J7" s="13"/>
      <c r="K7" s="13"/>
      <c r="L7" s="13"/>
      <c r="M7" s="20" t="s">
        <v>72</v>
      </c>
    </row>
    <row r="8">
      <c r="A8" s="9" t="s">
        <v>73</v>
      </c>
      <c r="B8" s="10" t="s">
        <v>74</v>
      </c>
      <c r="C8" s="10" t="s">
        <v>75</v>
      </c>
      <c r="D8" s="10" t="s">
        <v>76</v>
      </c>
      <c r="E8" s="10" t="s">
        <v>77</v>
      </c>
      <c r="F8" s="10" t="s">
        <v>78</v>
      </c>
      <c r="G8" s="10" t="s">
        <v>79</v>
      </c>
      <c r="H8" s="13"/>
      <c r="I8" s="13"/>
      <c r="J8" s="13"/>
      <c r="K8" s="13"/>
      <c r="L8" s="13"/>
      <c r="M8" s="25" t="s">
        <v>80</v>
      </c>
    </row>
    <row r="9">
      <c r="A9" s="23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3"/>
      <c r="I9" s="13"/>
      <c r="J9" s="13"/>
      <c r="K9" s="13"/>
      <c r="L9" s="10" t="s">
        <v>88</v>
      </c>
      <c r="M9" s="10" t="s">
        <v>93</v>
      </c>
    </row>
    <row r="11">
      <c r="A11" s="27" t="s">
        <v>92</v>
      </c>
      <c r="B11" s="28"/>
      <c r="C11" s="33"/>
    </row>
    <row r="13">
      <c r="E13" s="24" t="s">
        <v>90</v>
      </c>
      <c r="G13" s="26" t="s">
        <v>96</v>
      </c>
    </row>
    <row r="14">
      <c r="A14" s="42" t="s">
        <v>97</v>
      </c>
      <c r="B14" s="31"/>
      <c r="C14" s="32"/>
      <c r="E14" s="42" t="s">
        <v>94</v>
      </c>
      <c r="F14" s="31"/>
      <c r="G14" s="31"/>
      <c r="H14" s="31"/>
      <c r="I14" s="32"/>
    </row>
    <row r="15">
      <c r="A15" s="41" t="s">
        <v>99</v>
      </c>
      <c r="B15" s="43" t="s">
        <v>100</v>
      </c>
      <c r="C15" s="44" t="s">
        <v>101</v>
      </c>
      <c r="E15" s="48" t="s">
        <v>103</v>
      </c>
      <c r="F15" s="38"/>
      <c r="G15" s="38"/>
      <c r="H15" s="39"/>
      <c r="I15" s="49" t="b">
        <v>0</v>
      </c>
    </row>
    <row r="16">
      <c r="A16" s="50" t="s">
        <v>109</v>
      </c>
      <c r="B16" s="46" t="s">
        <v>106</v>
      </c>
      <c r="C16" s="52" t="s">
        <v>107</v>
      </c>
      <c r="E16" s="48" t="s">
        <v>112</v>
      </c>
      <c r="F16" s="38"/>
      <c r="G16" s="38"/>
      <c r="H16" s="39"/>
      <c r="I16" s="49" t="b">
        <v>0</v>
      </c>
    </row>
    <row r="17">
      <c r="A17" s="50" t="s">
        <v>115</v>
      </c>
      <c r="B17" s="46" t="s">
        <v>106</v>
      </c>
      <c r="C17" s="53"/>
      <c r="E17" s="48" t="s">
        <v>117</v>
      </c>
      <c r="F17" s="38"/>
      <c r="G17" s="38"/>
      <c r="H17" s="39"/>
      <c r="I17" s="49" t="b">
        <v>0</v>
      </c>
    </row>
    <row r="18">
      <c r="A18" s="50" t="s">
        <v>119</v>
      </c>
      <c r="B18" s="46" t="s">
        <v>106</v>
      </c>
      <c r="C18" s="52" t="s">
        <v>107</v>
      </c>
      <c r="E18" s="48" t="s">
        <v>122</v>
      </c>
      <c r="F18" s="38"/>
      <c r="G18" s="38"/>
      <c r="H18" s="39"/>
      <c r="I18" s="49" t="b">
        <v>0</v>
      </c>
    </row>
    <row r="19">
      <c r="A19" s="54" t="s">
        <v>123</v>
      </c>
      <c r="B19" s="55" t="s">
        <v>106</v>
      </c>
      <c r="C19" s="56"/>
      <c r="E19" s="48" t="s">
        <v>127</v>
      </c>
      <c r="F19" s="38"/>
      <c r="G19" s="38"/>
      <c r="H19" s="39"/>
      <c r="I19" s="49" t="b">
        <v>0</v>
      </c>
    </row>
    <row r="20">
      <c r="A20" s="54" t="s">
        <v>129</v>
      </c>
      <c r="B20" s="55" t="s">
        <v>106</v>
      </c>
      <c r="C20" s="57" t="s">
        <v>107</v>
      </c>
      <c r="E20" s="58" t="s">
        <v>132</v>
      </c>
      <c r="F20" s="38"/>
      <c r="G20" s="38"/>
      <c r="H20" s="39"/>
      <c r="I20" s="59" t="b">
        <v>0</v>
      </c>
    </row>
    <row r="21">
      <c r="A21" s="60"/>
      <c r="B21" s="60"/>
      <c r="C21" s="60"/>
      <c r="E21" s="62"/>
    </row>
    <row r="22">
      <c r="A22" s="65" t="s">
        <v>135</v>
      </c>
      <c r="B22" s="38"/>
      <c r="C22" s="39"/>
      <c r="E22" s="67" t="s">
        <v>136</v>
      </c>
      <c r="F22" s="69"/>
      <c r="G22" s="69"/>
      <c r="H22" s="69"/>
      <c r="I22" s="69"/>
      <c r="J22" s="69"/>
      <c r="K22" s="69"/>
      <c r="L22" s="70"/>
    </row>
    <row r="23" ht="42.75" customHeight="1">
      <c r="A23" s="72" t="s">
        <v>137</v>
      </c>
      <c r="B23" s="73">
        <f>COUNTA($B$2:$M$9)</f>
        <v>57</v>
      </c>
      <c r="C23" s="74" t="s">
        <v>138</v>
      </c>
      <c r="E23" s="75"/>
      <c r="F23" s="76"/>
      <c r="G23" s="76"/>
      <c r="H23" s="76"/>
      <c r="I23" s="76"/>
      <c r="J23" s="76"/>
      <c r="K23" s="76"/>
      <c r="L23" s="77"/>
    </row>
    <row r="24" ht="59.25" customHeight="1">
      <c r="A24" s="72" t="s">
        <v>140</v>
      </c>
      <c r="B24" s="78">
        <v>1.2</v>
      </c>
      <c r="C24" s="74" t="s">
        <v>141</v>
      </c>
      <c r="E24" s="79"/>
      <c r="L24" s="80"/>
    </row>
    <row r="25">
      <c r="E25" s="79"/>
      <c r="L25" s="80"/>
    </row>
    <row r="26">
      <c r="E26" s="79"/>
      <c r="L26" s="80"/>
    </row>
    <row r="27">
      <c r="A27" s="83" t="s">
        <v>142</v>
      </c>
      <c r="B27" s="31"/>
      <c r="C27" s="32"/>
      <c r="E27" s="79"/>
      <c r="L27" s="80"/>
    </row>
    <row r="28">
      <c r="A28" s="85" t="s">
        <v>143</v>
      </c>
      <c r="B28" s="86" t="s">
        <v>145</v>
      </c>
      <c r="C28" s="87" t="s">
        <v>146</v>
      </c>
      <c r="E28" s="79"/>
      <c r="L28" s="80"/>
    </row>
    <row r="29">
      <c r="A29" s="89" t="s">
        <v>115</v>
      </c>
      <c r="B29" s="91">
        <v>10.0</v>
      </c>
      <c r="C29" s="93">
        <f t="shared" ref="C29:C31" si="1">B29*$B$23*$B$24</f>
        <v>684</v>
      </c>
      <c r="E29" s="79"/>
      <c r="L29" s="80"/>
    </row>
    <row r="30">
      <c r="A30" s="89" t="s">
        <v>149</v>
      </c>
      <c r="B30" s="91">
        <v>4.0</v>
      </c>
      <c r="C30" s="93">
        <f t="shared" si="1"/>
        <v>273.6</v>
      </c>
      <c r="E30" s="79"/>
      <c r="L30" s="80"/>
    </row>
    <row r="31">
      <c r="A31" s="89" t="s">
        <v>150</v>
      </c>
      <c r="B31" s="91">
        <v>1.0</v>
      </c>
      <c r="C31" s="93">
        <f t="shared" si="1"/>
        <v>68.4</v>
      </c>
      <c r="E31" s="79"/>
      <c r="L31" s="80"/>
    </row>
    <row r="32">
      <c r="A32" s="95" t="s">
        <v>152</v>
      </c>
      <c r="B32" s="97">
        <f t="shared" ref="B32:C32" si="2">sum(B29:B31)</f>
        <v>15</v>
      </c>
      <c r="C32" s="93">
        <f t="shared" si="2"/>
        <v>1026</v>
      </c>
      <c r="E32" s="79"/>
      <c r="L32" s="80"/>
    </row>
    <row r="33">
      <c r="A33" s="99" t="s">
        <v>153</v>
      </c>
      <c r="B33" s="100">
        <v>8.0</v>
      </c>
      <c r="C33" s="103">
        <f>C32/B33</f>
        <v>128.25</v>
      </c>
      <c r="E33" s="79"/>
      <c r="L33" s="80"/>
    </row>
    <row r="34">
      <c r="E34" s="79"/>
      <c r="L34" s="80"/>
    </row>
    <row r="35">
      <c r="E35" s="79"/>
      <c r="L35" s="80"/>
    </row>
    <row r="36">
      <c r="E36" s="79"/>
      <c r="L36" s="80"/>
    </row>
    <row r="37">
      <c r="E37" s="79"/>
      <c r="L37" s="80"/>
    </row>
    <row r="38">
      <c r="E38" s="79"/>
      <c r="L38" s="80"/>
    </row>
    <row r="39">
      <c r="A39" s="60"/>
      <c r="B39" s="60"/>
      <c r="C39" s="60"/>
      <c r="E39" s="109" t="s">
        <v>156</v>
      </c>
      <c r="F39" s="110"/>
      <c r="G39" s="110"/>
      <c r="H39" s="110"/>
      <c r="I39" s="110"/>
      <c r="J39" s="110"/>
      <c r="K39" s="110"/>
      <c r="L39" s="111"/>
    </row>
    <row r="40">
      <c r="A40" s="60"/>
      <c r="B40" s="60"/>
      <c r="C40" s="60"/>
    </row>
    <row r="41">
      <c r="A41" s="113"/>
      <c r="B41" s="114"/>
      <c r="C41" s="113"/>
    </row>
    <row r="42">
      <c r="A42" s="115"/>
      <c r="B42" s="116"/>
      <c r="C42" s="117"/>
    </row>
    <row r="43">
      <c r="A43" s="115"/>
      <c r="B43" s="116"/>
      <c r="C43" s="117"/>
    </row>
    <row r="44">
      <c r="A44" s="114"/>
      <c r="B44" s="113"/>
      <c r="C44" s="117"/>
    </row>
    <row r="45">
      <c r="A45" s="60"/>
      <c r="B45" s="60"/>
      <c r="C45" s="60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1" t="s">
        <v>14</v>
      </c>
    </row>
    <row r="3">
      <c r="A3" s="12" t="s">
        <v>21</v>
      </c>
    </row>
    <row r="4">
      <c r="A4" s="12" t="s">
        <v>22</v>
      </c>
    </row>
    <row r="5">
      <c r="A5" s="12" t="s">
        <v>23</v>
      </c>
    </row>
    <row r="6">
      <c r="A6" s="12" t="s">
        <v>24</v>
      </c>
    </row>
    <row r="7">
      <c r="A7" s="12" t="s">
        <v>25</v>
      </c>
    </row>
    <row r="8">
      <c r="A8" s="12" t="s">
        <v>27</v>
      </c>
    </row>
    <row r="9">
      <c r="A9" s="12" t="s">
        <v>28</v>
      </c>
    </row>
    <row r="10">
      <c r="A10" s="12" t="s">
        <v>29</v>
      </c>
    </row>
    <row r="11">
      <c r="A11" s="12" t="s">
        <v>31</v>
      </c>
    </row>
    <row r="12">
      <c r="A12" s="12" t="s">
        <v>32</v>
      </c>
    </row>
  </sheetData>
  <drawing r:id="rId1"/>
</worksheet>
</file>