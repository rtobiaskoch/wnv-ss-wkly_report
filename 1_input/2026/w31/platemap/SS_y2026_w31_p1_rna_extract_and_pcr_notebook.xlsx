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<sst xmlns="http://schemas.openxmlformats.org/spreadsheetml/2006/main" count="332" uniqueCount="203">
  <si>
    <t>QC and setting thresholds</t>
  </si>
  <si>
    <t>Step</t>
  </si>
  <si>
    <t>NAME</t>
  </si>
  <si>
    <t>DESCRIPTION</t>
  </si>
  <si>
    <t>COPY</t>
  </si>
  <si>
    <t>When the run is complete, eject the plate and throw it in the garbage.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</si>
  <si>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</si>
  <si>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</si>
  <si>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</si>
  <si>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</si>
  <si>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</si>
  <si>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</si>
  <si>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</si>
  <si>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</si>
  <si>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</si>
  <si>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</si>
  <si>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</si>
  <si>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</si>
  <si>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</si>
  <si>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</si>
  <si>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*</t>
  </si>
  <si>
    <t>Click “analyze” in the top right corner.</t>
  </si>
  <si>
    <t>Don't change the names of the sheets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</si>
  <si>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</si>
  <si>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</si>
  <si>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</si>
  <si>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</si>
  <si>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</si>
  <si>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</si>
  <si>
    <t>A</t>
  </si>
  <si>
    <t>CSU-25623</t>
  </si>
  <si>
    <t>CSU-25631</t>
  </si>
  <si>
    <t>CSU-25639</t>
  </si>
  <si>
    <t>CSU-25647</t>
  </si>
  <si>
    <t>CSU-25655</t>
  </si>
  <si>
    <t>CSU-25663</t>
  </si>
  <si>
    <t>CSU-25671</t>
  </si>
  <si>
    <t>CSU-25679</t>
  </si>
  <si>
    <t>CSU-25687</t>
  </si>
  <si>
    <t>CSU-25695</t>
  </si>
  <si>
    <t>CSU-25703</t>
  </si>
  <si>
    <t>wnv_std_1e6</t>
  </si>
  <si>
    <t>B</t>
  </si>
  <si>
    <t>CSU-25624</t>
  </si>
  <si>
    <t>CSU-25632</t>
  </si>
  <si>
    <t>CSU-25640</t>
  </si>
  <si>
    <t>CSU-25648</t>
  </si>
  <si>
    <t>CSU-25656</t>
  </si>
  <si>
    <t>CSU-25664</t>
  </si>
  <si>
    <t>CSU-25672</t>
  </si>
  <si>
    <t>CSU-25680</t>
  </si>
  <si>
    <t>CSU-25688</t>
  </si>
  <si>
    <t>CSU-25696</t>
  </si>
  <si>
    <t>CSU-25704</t>
  </si>
  <si>
    <t>wnv_std_1e4</t>
  </si>
  <si>
    <t>added in pcr*</t>
  </si>
  <si>
    <t>C</t>
  </si>
  <si>
    <t>CSU-25625</t>
  </si>
  <si>
    <t>CSU-25633</t>
  </si>
  <si>
    <t>CSU-25641</t>
  </si>
  <si>
    <t>CSU-25649</t>
  </si>
  <si>
    <t>CSU-25657</t>
  </si>
  <si>
    <t>CSU-25665</t>
  </si>
  <si>
    <t>CSU-25673</t>
  </si>
  <si>
    <t>CSU-25681</t>
  </si>
  <si>
    <t>CSU-25689</t>
  </si>
  <si>
    <t>CSU-25697</t>
  </si>
  <si>
    <t>CSU-25705</t>
  </si>
  <si>
    <t>wnv_std_1e2</t>
  </si>
  <si>
    <t>D</t>
  </si>
  <si>
    <t>CSU-25626</t>
  </si>
  <si>
    <t>CSU-25634</t>
  </si>
  <si>
    <t>CSU-25642</t>
  </si>
  <si>
    <t>CSU-25650</t>
  </si>
  <si>
    <t>CSU-25658</t>
  </si>
  <si>
    <t>CSU-25666</t>
  </si>
  <si>
    <t>CSU-25674</t>
  </si>
  <si>
    <t>CSU-25682</t>
  </si>
  <si>
    <t>CSU-25690</t>
  </si>
  <si>
    <t>CSU-25698</t>
  </si>
  <si>
    <t>CSU-25706</t>
  </si>
  <si>
    <t>slev_std_1e6</t>
  </si>
  <si>
    <t>E</t>
  </si>
  <si>
    <t>CSU-25627</t>
  </si>
  <si>
    <t>CSU-25635</t>
  </si>
  <si>
    <t>CSU-25643</t>
  </si>
  <si>
    <t>CSU-25651</t>
  </si>
  <si>
    <t>CSU-25659</t>
  </si>
  <si>
    <t>CSU-25667</t>
  </si>
  <si>
    <t>CSU-25675</t>
  </si>
  <si>
    <t>CSU-25683</t>
  </si>
  <si>
    <t>CSU-25691</t>
  </si>
  <si>
    <t>CSU-25699</t>
  </si>
  <si>
    <t>CSU-25707</t>
  </si>
  <si>
    <t>slev_std_1e4</t>
  </si>
  <si>
    <t>F</t>
  </si>
  <si>
    <t>CSU-25628</t>
  </si>
  <si>
    <t>CSU-25636</t>
  </si>
  <si>
    <t>CSU-25644</t>
  </si>
  <si>
    <t>CSU-25652</t>
  </si>
  <si>
    <t>CSU-25660</t>
  </si>
  <si>
    <t>CSU-25668</t>
  </si>
  <si>
    <t>CSU-25676</t>
  </si>
  <si>
    <t>CSU-25684</t>
  </si>
  <si>
    <t>CSU-25692</t>
  </si>
  <si>
    <t>CSU-25700</t>
  </si>
  <si>
    <t>CSU-25708</t>
  </si>
  <si>
    <t>slev_std_1e2</t>
  </si>
  <si>
    <t>G</t>
  </si>
  <si>
    <t>CSU-25629</t>
  </si>
  <si>
    <t>CSU-25637</t>
  </si>
  <si>
    <t>CSU-25645</t>
  </si>
  <si>
    <t>CSU-25653</t>
  </si>
  <si>
    <t>CSU-25661</t>
  </si>
  <si>
    <t>CSU-25669</t>
  </si>
  <si>
    <t>CSU-25677</t>
  </si>
  <si>
    <t>CSU-25685</t>
  </si>
  <si>
    <t>CSU-25693</t>
  </si>
  <si>
    <t>CSU-25701</t>
  </si>
  <si>
    <t>CSU-25709</t>
  </si>
  <si>
    <t>neg pcr ctrl</t>
  </si>
  <si>
    <t>H</t>
  </si>
  <si>
    <t>CSU-25630</t>
  </si>
  <si>
    <t>CSU-25638</t>
  </si>
  <si>
    <t>CSU-25646</t>
  </si>
  <si>
    <t>CSU-25654</t>
  </si>
  <si>
    <t>CSU-25662</t>
  </si>
  <si>
    <t>CSU-25670</t>
  </si>
  <si>
    <t>CSU-25678</t>
  </si>
  <si>
    <t>CSU-25686</t>
  </si>
  <si>
    <t>CSU-25694</t>
  </si>
  <si>
    <t>CSU-25702</t>
  </si>
  <si>
    <t>neg extract ctl</t>
  </si>
  <si>
    <t>pos extract ctl</t>
  </si>
  <si>
    <t>YOUR NAME</t>
  </si>
  <si>
    <t>full protocol here -----------------------&gt;</t>
  </si>
  <si>
    <t>SS - Multiplex qRT-PCR</t>
  </si>
  <si>
    <t>SUPPLIES</t>
  </si>
  <si>
    <t>PROTOCOL CHECKLIST</t>
  </si>
  <si>
    <t>Machine/Reagent</t>
  </si>
  <si>
    <t xml:space="preserve"> pos extract ctl</t>
  </si>
  <si>
    <t>Lot/ID</t>
  </si>
  <si>
    <t>positive extraction control</t>
  </si>
  <si>
    <t>SS - RNA extraction</t>
  </si>
  <si>
    <t>Mastermix</t>
  </si>
  <si>
    <t>take samples out of freezer to thaw</t>
  </si>
  <si>
    <t>neg pcr control added</t>
  </si>
  <si>
    <t>primer probe</t>
  </si>
  <si>
    <t>NA</t>
  </si>
  <si>
    <t>ethanol added to SPR (check mark on bottle)</t>
  </si>
  <si>
    <t>standards added</t>
  </si>
  <si>
    <t>RT enzyme</t>
  </si>
  <si>
    <t>ethanol added to VHB  (check mark on bottle)</t>
  </si>
  <si>
    <t>Reagents put back in -4 C</t>
  </si>
  <si>
    <t>positve and negative extraction controls added</t>
  </si>
  <si>
    <t>Kingfisher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</si>
  <si>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</si>
  <si>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</si>
  <si>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</si>
  <si>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</si>
  <si>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</si>
  <si>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</si>
  <si>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</si>
  <si>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standards</t>
  </si>
  <si>
    <t>linear acrylamide</t>
  </si>
  <si>
    <t>A1 of sample plate oriented to A1 in machine</t>
  </si>
  <si>
    <t>magbind beads</t>
  </si>
  <si>
    <t>Return tip plate to top of robot</t>
  </si>
  <si>
    <t>baseline threshold changed to 34000 and hit Analyze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</si>
  <si>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</si>
  <si>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</si>
  <si>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</si>
  <si>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</si>
  <si>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Export .xls file with named "SS-y####-w#-p#-pcr"</t>
  </si>
  <si>
    <t>dfh20</t>
  </si>
  <si>
    <t>RXN INPUT</t>
  </si>
  <si>
    <t>RUN NOTES</t>
  </si>
  <si>
    <t>N samples</t>
  </si>
  <si>
    <t>non blank values in platemap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</si>
  <si>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</si>
  <si>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</si>
  <si>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</si>
  <si>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</si>
  <si>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MM1 Reagent</t>
  </si>
  <si>
    <t>1X</t>
  </si>
  <si>
    <t xml:space="preserve"> Sample MM1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</si>
  <si>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</si>
  <si>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</si>
  <si>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</si>
  <si>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</si>
  <si>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</si>
  <si>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</si>
  <si>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</si>
  <si>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Primer probe</t>
  </si>
  <si>
    <t>MagBind beads</t>
  </si>
  <si>
    <t>proteinase K</t>
  </si>
  <si>
    <t>use the space above to write any anomalies with the run as a whole or notes about particular samples.</t>
  </si>
  <si>
    <t>RT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</si>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</sst>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4.0"/>
      <color rgb="FF3C78D8"/>
      <name val="Arial"/>
      <scheme val="minor"/>
    </font>
    <font>
      <u/>
      <color theme="1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2" fillId="2" fontId="5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3" fillId="2" fontId="5" numFmtId="0" xfId="0" applyAlignment="1" applyBorder="1" applyFont="1">
      <alignment readingOrder="0"/>
    </xf>
    <xf borderId="0" fillId="0" fontId="1" numFmtId="0" xfId="0" applyFont="1"/>
    <xf borderId="4" fillId="2" fontId="5" numFmtId="0" xfId="0" applyAlignment="1" applyBorder="1" applyFont="1">
      <alignment readingOrder="0"/>
    </xf>
    <xf borderId="5" fillId="3" fontId="2" numFmtId="0" xfId="0" applyAlignment="1" applyBorder="1" applyFill="1" applyFont="1">
      <alignment readingOrder="0"/>
    </xf>
    <xf borderId="5" fillId="3" fontId="7" numFmtId="0" xfId="0" applyAlignment="1" applyBorder="1" applyFont="1">
      <alignment readingOrder="0" vertical="bottom"/>
    </xf>
    <xf borderId="5" fillId="4" fontId="2" numFmtId="0" xfId="0" applyBorder="1" applyFill="1" applyFont="1"/>
    <xf borderId="6" fillId="0" fontId="8" numFmtId="0" xfId="0" applyBorder="1" applyFont="1"/>
    <xf borderId="5" fillId="5" fontId="2" numFmtId="0" xfId="0" applyBorder="1" applyFill="1" applyFont="1"/>
    <xf borderId="7" fillId="0" fontId="9" numFmtId="0" xfId="0" applyAlignment="1" applyBorder="1" applyFont="1">
      <alignment horizontal="center" shrinkToFit="0" textRotation="90" vertical="bottom" wrapText="1"/>
    </xf>
    <xf borderId="5" fillId="6" fontId="2" numFmtId="0" xfId="0" applyBorder="1" applyFill="1" applyFont="1"/>
    <xf borderId="8" fillId="0" fontId="10" numFmtId="0" xfId="0" applyBorder="1" applyFont="1"/>
    <xf borderId="7" fillId="3" fontId="2" numFmtId="0" xfId="0" applyAlignment="1" applyBorder="1" applyFont="1">
      <alignment readingOrder="0"/>
    </xf>
    <xf borderId="9" fillId="2" fontId="5" numFmtId="0" xfId="0" applyAlignment="1" applyBorder="1" applyFont="1">
      <alignment readingOrder="0"/>
    </xf>
    <xf borderId="10" fillId="0" fontId="11" numFmtId="0" xfId="0" applyAlignment="1" applyBorder="1" applyFont="1">
      <alignment horizontal="center" readingOrder="0"/>
    </xf>
    <xf borderId="11" fillId="0" fontId="10" numFmtId="0" xfId="0" applyBorder="1" applyFont="1"/>
    <xf borderId="11" fillId="3" fontId="2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2" fillId="0" fontId="10" numFmtId="0" xfId="0" applyBorder="1" applyFont="1"/>
    <xf borderId="0" fillId="0" fontId="12" numFmtId="0" xfId="0" applyAlignment="1" applyFont="1">
      <alignment readingOrder="0"/>
    </xf>
    <xf borderId="13" fillId="7" fontId="13" numFmtId="0" xfId="0" applyAlignment="1" applyBorder="1" applyFill="1" applyFont="1">
      <alignment horizontal="center" readingOrder="0"/>
    </xf>
    <xf borderId="14" fillId="0" fontId="10" numFmtId="0" xfId="0" applyBorder="1" applyFont="1"/>
    <xf borderId="0" fillId="0" fontId="13" numFmtId="0" xfId="0" applyAlignment="1" applyFont="1">
      <alignment horizontal="center" readingOrder="0"/>
    </xf>
    <xf borderId="15" fillId="7" fontId="13" numFmtId="0" xfId="0" applyAlignment="1" applyBorder="1" applyFont="1">
      <alignment horizontal="center" readingOrder="0"/>
    </xf>
    <xf borderId="16" fillId="0" fontId="10" numFmtId="0" xfId="0" applyBorder="1" applyFont="1"/>
    <xf borderId="6" fillId="0" fontId="8" numFmtId="0" xfId="0" applyAlignment="1" applyBorder="1" applyFont="1">
      <alignment readingOrder="0"/>
    </xf>
    <xf borderId="17" fillId="0" fontId="10" numFmtId="0" xfId="0" applyBorder="1" applyFont="1"/>
    <xf borderId="18" fillId="0" fontId="14" numFmtId="0" xfId="0" applyAlignment="1" applyBorder="1" applyFont="1">
      <alignment horizontal="center" vertical="bottom"/>
    </xf>
    <xf borderId="6" fillId="0" fontId="14" numFmtId="0" xfId="0" applyAlignment="1" applyBorder="1" applyFont="1">
      <alignment vertical="bottom"/>
    </xf>
    <xf borderId="0" fillId="0" fontId="15" numFmtId="0" xfId="0" applyAlignment="1" applyFont="1">
      <alignment readingOrder="0"/>
    </xf>
    <xf borderId="0" fillId="0" fontId="16" numFmtId="0" xfId="0" applyFont="1"/>
    <xf borderId="19" fillId="0" fontId="7" numFmtId="0" xfId="0" applyAlignment="1" applyBorder="1" applyFont="1">
      <alignment readingOrder="0" vertical="bottom"/>
    </xf>
    <xf borderId="20" fillId="0" fontId="10" numFmtId="0" xfId="0" applyBorder="1" applyFont="1"/>
    <xf borderId="0" fillId="0" fontId="17" numFmtId="0" xfId="0" applyAlignment="1" applyFont="1">
      <alignment readingOrder="0"/>
    </xf>
    <xf borderId="6" fillId="3" fontId="7" numFmtId="0" xfId="0" applyAlignment="1" applyBorder="1" applyFont="1">
      <alignment horizontal="center" readingOrder="0"/>
    </xf>
    <xf borderId="11" fillId="3" fontId="2" numFmtId="0" xfId="0" applyBorder="1" applyFont="1"/>
    <xf borderId="18" fillId="0" fontId="7" numFmtId="0" xfId="0" applyAlignment="1" applyBorder="1" applyFont="1">
      <alignment readingOrder="0" vertical="bottom"/>
    </xf>
    <xf borderId="15" fillId="8" fontId="13" numFmtId="0" xfId="0" applyAlignment="1" applyBorder="1" applyFill="1" applyFont="1">
      <alignment horizontal="center" readingOrder="0"/>
    </xf>
    <xf borderId="6" fillId="3" fontId="7" numFmtId="49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readingOrder="0"/>
    </xf>
    <xf borderId="21" fillId="0" fontId="10" numFmtId="0" xfId="0" applyBorder="1" applyFont="1"/>
    <xf borderId="19" fillId="0" fontId="7" numFmtId="0" xfId="0" applyAlignment="1" applyBorder="1" applyFont="1">
      <alignment vertical="bottom"/>
    </xf>
    <xf borderId="22" fillId="3" fontId="2" numFmtId="0" xfId="0" applyAlignment="1" applyBorder="1" applyFont="1">
      <alignment readingOrder="0"/>
    </xf>
    <xf borderId="6" fillId="3" fontId="7" numFmtId="49" xfId="0" applyAlignment="1" applyBorder="1" applyFont="1" applyNumberFormat="1">
      <alignment horizontal="center" readingOrder="0" vertical="bottom"/>
    </xf>
    <xf borderId="19" fillId="0" fontId="2" numFmtId="0" xfId="0" applyAlignment="1" applyBorder="1" applyFont="1">
      <alignment readingOrder="0"/>
    </xf>
    <xf borderId="23" fillId="0" fontId="7" numFmtId="0" xfId="0" applyAlignment="1" applyBorder="1" applyFont="1">
      <alignment readingOrder="0" vertical="bottom"/>
    </xf>
    <xf borderId="6" fillId="3" fontId="2" numFmtId="0" xfId="0" applyAlignment="1" applyBorder="1" applyFont="1">
      <alignment readingOrder="0"/>
    </xf>
    <xf borderId="22" fillId="3" fontId="7" numFmtId="49" xfId="0" applyAlignment="1" applyBorder="1" applyFont="1" applyNumberFormat="1">
      <alignment horizontal="center" vertical="bottom"/>
    </xf>
    <xf borderId="18" fillId="0" fontId="7" numFmtId="0" xfId="0" applyAlignment="1" applyBorder="1" applyFont="1">
      <alignment vertical="bottom"/>
    </xf>
    <xf borderId="6" fillId="3" fontId="7" numFmtId="0" xfId="0" applyAlignment="1" applyBorder="1" applyFont="1">
      <alignment horizontal="center" readingOrder="0" vertical="bottom"/>
    </xf>
    <xf borderId="6" fillId="3" fontId="2" numFmtId="0" xfId="0" applyBorder="1" applyFont="1"/>
    <xf borderId="6" fillId="3" fontId="7" numFmtId="0" xfId="0" applyAlignment="1" applyBorder="1" applyFont="1">
      <alignment horizontal="center" vertical="bottom"/>
    </xf>
    <xf borderId="22" fillId="3" fontId="7" numFmtId="49" xfId="0" applyAlignment="1" applyBorder="1" applyFont="1" applyNumberFormat="1">
      <alignment horizontal="center" readingOrder="0" vertical="bottom"/>
    </xf>
    <xf borderId="24" fillId="0" fontId="2" numFmtId="0" xfId="0" applyAlignment="1" applyBorder="1" applyFont="1">
      <alignment readingOrder="0"/>
    </xf>
    <xf borderId="25" fillId="0" fontId="10" numFmtId="0" xfId="0" applyBorder="1" applyFont="1"/>
    <xf borderId="26" fillId="0" fontId="10" numFmtId="0" xfId="0" applyBorder="1" applyFont="1"/>
    <xf borderId="22" fillId="3" fontId="2" numFmtId="0" xfId="0" applyBorder="1" applyFont="1"/>
    <xf borderId="22" fillId="3" fontId="7" numFmtId="0" xfId="0" applyAlignment="1" applyBorder="1" applyFont="1">
      <alignment horizontal="center" readingOrder="0"/>
    </xf>
    <xf borderId="22" fillId="3" fontId="7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13" fillId="7" fontId="18" numFmtId="0" xfId="0" applyAlignment="1" applyBorder="1" applyFont="1">
      <alignment horizontal="center" readingOrder="0" vertical="bottom"/>
    </xf>
    <xf borderId="13" fillId="8" fontId="18" numFmtId="0" xfId="0" applyAlignment="1" applyBorder="1" applyFont="1">
      <alignment horizontal="center" readingOrder="0" vertical="bottom"/>
    </xf>
    <xf borderId="1" fillId="8" fontId="13" numFmtId="0" xfId="0" applyAlignment="1" applyBorder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5" fillId="0" fontId="14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shrinkToFit="0" wrapText="1"/>
    </xf>
    <xf borderId="5" fillId="0" fontId="19" numFmtId="0" xfId="0" applyAlignment="1" applyBorder="1" applyFont="1">
      <alignment readingOrder="0" shrinkToFit="0" vertical="bottom" wrapText="1"/>
    </xf>
    <xf borderId="27" fillId="0" fontId="2" numFmtId="0" xfId="0" applyBorder="1" applyFont="1"/>
    <xf borderId="28" fillId="0" fontId="10" numFmtId="0" xfId="0" applyBorder="1" applyFont="1"/>
    <xf borderId="29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2" numFmtId="0" xfId="0" applyBorder="1" applyFont="1"/>
    <xf borderId="30" fillId="0" fontId="10" numFmtId="0" xfId="0" applyBorder="1" applyFont="1"/>
    <xf borderId="0" fillId="0" fontId="20" numFmtId="0" xfId="0" applyAlignment="1" applyFont="1">
      <alignment horizontal="center" shrinkToFit="0" vertical="bottom" wrapText="1"/>
    </xf>
    <xf borderId="15" fillId="7" fontId="18" numFmtId="0" xfId="0" applyAlignment="1" applyBorder="1" applyFont="1">
      <alignment horizontal="center" readingOrder="0" vertical="bottom"/>
    </xf>
    <xf borderId="0" fillId="0" fontId="21" numFmtId="0" xfId="0" applyAlignment="1" applyFont="1">
      <alignment readingOrder="0"/>
    </xf>
    <xf borderId="18" fillId="0" fontId="20" numFmtId="0" xfId="0" applyAlignment="1" applyBorder="1" applyFont="1">
      <alignment horizontal="center" readingOrder="0" shrinkToFit="0" vertical="bottom" wrapText="1"/>
    </xf>
    <xf borderId="15" fillId="8" fontId="18" numFmtId="0" xfId="0" applyAlignment="1" applyBorder="1" applyFont="1">
      <alignment horizontal="center" readingOrder="0" vertical="bottom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18" fillId="0" fontId="22" numFmtId="0" xfId="0" applyAlignment="1" applyBorder="1" applyFont="1">
      <alignment horizontal="center" readingOrder="0" shrinkToFit="0" vertical="bottom" wrapText="1"/>
    </xf>
    <xf borderId="18" fillId="0" fontId="22" numFmtId="0" xfId="0" applyAlignment="1" applyBorder="1" applyFont="1">
      <alignment horizontal="center" shrinkToFit="0" vertical="bottom" wrapText="1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6" fillId="0" fontId="23" numFmtId="0" xfId="0" applyBorder="1" applyFont="1"/>
    <xf borderId="0" fillId="3" fontId="2" numFmtId="0" xfId="0" applyFont="1"/>
    <xf borderId="18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readingOrder="0" vertical="bottom"/>
    </xf>
    <xf borderId="30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18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18" fillId="0" fontId="25" numFmtId="0" xfId="0" applyAlignment="1" applyBorder="1" applyFont="1">
      <alignment horizontal="center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0" fillId="3" fontId="2" numFmtId="0" xfId="0" applyAlignment="1" applyFont="1">
      <alignment readingOrder="0"/>
    </xf>
    <xf borderId="18" fillId="0" fontId="24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horizontal="center" readingOrder="0" shrinkToFit="0" vertical="bottom" wrapText="1"/>
    </xf>
    <xf borderId="9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readingOrder="0" vertical="bottom"/>
    </xf>
    <xf borderId="32" fillId="0" fontId="7" numFmtId="0" xfId="0" applyAlignment="1" applyBorder="1" applyFont="1">
      <alignment vertical="bottom"/>
    </xf>
    <xf borderId="9" fillId="0" fontId="2" numFmtId="0" xfId="0" applyAlignment="1" applyBorder="1" applyFont="1">
      <alignment readingOrder="0"/>
    </xf>
    <xf borderId="31" fillId="0" fontId="2" numFmtId="0" xfId="0" applyBorder="1" applyFont="1"/>
    <xf borderId="32" fillId="0" fontId="2" numFmtId="0" xfId="0" applyBorder="1" applyFont="1"/>
    <xf borderId="5" fillId="0" fontId="20" numFmtId="4" xfId="0" applyAlignment="1" applyBorder="1" applyFont="1" applyNumberFormat="1">
      <alignment horizontal="center" readingOrder="0" shrinkToFit="0" vertical="bottom" wrapText="1"/>
    </xf>
    <xf borderId="5" fillId="0" fontId="14" numFmtId="0" xfId="0" applyAlignment="1" applyBorder="1" applyFont="1">
      <alignment vertical="bottom"/>
    </xf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1</v>
      </c>
      <c r="B1" s="1" t="s">
        <v>2</v>
      </c>
      <c r="C1" s="1" t="s">
        <v>3</v>
      </c>
    </row>
    <row r="2">
      <c r="A2" s="1">
        <v>1.0</v>
      </c>
      <c r="B2" s="4" t="s">
        <v>4</v>
      </c>
      <c r="C2" s="1" t="s">
        <v>6</v>
      </c>
    </row>
    <row r="3">
      <c r="A3" s="1">
        <v>2.0</v>
      </c>
      <c r="B3" s="4" t="s">
        <v>7</v>
      </c>
      <c r="C3" s="1" t="s">
        <v>8</v>
      </c>
    </row>
    <row r="4">
      <c r="A4" s="1"/>
      <c r="B4" s="4"/>
      <c r="C4" s="1" t="s">
        <v>9</v>
      </c>
    </row>
    <row r="5">
      <c r="A5" s="1">
        <v>3.0</v>
      </c>
      <c r="B5" s="4" t="s">
        <v>10</v>
      </c>
      <c r="C5" s="1" t="s">
        <v>11</v>
      </c>
    </row>
    <row r="6">
      <c r="A6" s="1">
        <v>4.0</v>
      </c>
      <c r="B6" s="4" t="s">
        <v>12</v>
      </c>
      <c r="C6" s="1" t="s">
        <v>13</v>
      </c>
    </row>
    <row r="7">
      <c r="A7" s="7"/>
      <c r="B7" s="7"/>
      <c r="C7" s="7"/>
    </row>
    <row r="8">
      <c r="B8" s="1" t="s">
        <v>20</v>
      </c>
      <c r="C8" s="8" t="s">
        <v>22</v>
      </c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  <row r="1001">
      <c r="A1001" s="10"/>
      <c r="B1001" s="10"/>
      <c r="C1001" s="10"/>
    </row>
    <row r="1002">
      <c r="A1002" s="10"/>
      <c r="B1002" s="10"/>
      <c r="C1002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2"/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9">
        <v>12.0</v>
      </c>
    </row>
    <row r="2">
      <c r="A2" s="11" t="s">
        <v>29</v>
      </c>
      <c r="B2" s="12" t="s">
        <v>30</v>
      </c>
      <c r="C2" s="12" t="s">
        <v>31</v>
      </c>
      <c r="D2" s="12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5" t="s">
        <v>41</v>
      </c>
      <c r="N2" s="17" t="s">
        <v>55</v>
      </c>
    </row>
    <row r="3">
      <c r="A3" s="11" t="s">
        <v>42</v>
      </c>
      <c r="B3" s="12" t="s">
        <v>43</v>
      </c>
      <c r="C3" s="12" t="s">
        <v>44</v>
      </c>
      <c r="D3" s="12" t="s">
        <v>45</v>
      </c>
      <c r="E3" s="13" t="s">
        <v>46</v>
      </c>
      <c r="F3" s="13" t="s">
        <v>47</v>
      </c>
      <c r="G3" s="13" t="s">
        <v>48</v>
      </c>
      <c r="H3" s="13" t="s">
        <v>49</v>
      </c>
      <c r="I3" s="12" t="s">
        <v>50</v>
      </c>
      <c r="J3" s="12" t="s">
        <v>51</v>
      </c>
      <c r="K3" s="12" t="s">
        <v>52</v>
      </c>
      <c r="L3" s="12" t="s">
        <v>53</v>
      </c>
      <c r="M3" s="15" t="s">
        <v>54</v>
      </c>
      <c r="N3" s="19"/>
    </row>
    <row r="4">
      <c r="A4" s="11" t="s">
        <v>56</v>
      </c>
      <c r="B4" s="12" t="s">
        <v>57</v>
      </c>
      <c r="C4" s="12" t="s">
        <v>58</v>
      </c>
      <c r="D4" s="12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2" t="s">
        <v>64</v>
      </c>
      <c r="J4" s="12" t="s">
        <v>65</v>
      </c>
      <c r="K4" s="12" t="s">
        <v>66</v>
      </c>
      <c r="L4" s="12" t="s">
        <v>67</v>
      </c>
      <c r="M4" s="15" t="s">
        <v>68</v>
      </c>
      <c r="N4" s="19"/>
    </row>
    <row r="5">
      <c r="A5" s="11" t="s">
        <v>69</v>
      </c>
      <c r="B5" s="12" t="s">
        <v>70</v>
      </c>
      <c r="C5" s="12" t="s">
        <v>71</v>
      </c>
      <c r="D5" s="12" t="s">
        <v>72</v>
      </c>
      <c r="E5" s="13" t="s">
        <v>73</v>
      </c>
      <c r="F5" s="13" t="s">
        <v>74</v>
      </c>
      <c r="G5" s="13" t="s">
        <v>75</v>
      </c>
      <c r="H5" s="13" t="s">
        <v>76</v>
      </c>
      <c r="I5" s="12" t="s">
        <v>77</v>
      </c>
      <c r="J5" s="12" t="s">
        <v>78</v>
      </c>
      <c r="K5" s="12" t="s">
        <v>79</v>
      </c>
      <c r="L5" s="12" t="s">
        <v>80</v>
      </c>
      <c r="M5" s="15" t="s">
        <v>81</v>
      </c>
      <c r="N5" s="19"/>
    </row>
    <row r="6">
      <c r="A6" s="11" t="s">
        <v>82</v>
      </c>
      <c r="B6" s="12" t="s">
        <v>83</v>
      </c>
      <c r="C6" s="12" t="s">
        <v>84</v>
      </c>
      <c r="D6" s="12" t="s">
        <v>85</v>
      </c>
      <c r="E6" s="13" t="s">
        <v>86</v>
      </c>
      <c r="F6" s="13" t="s">
        <v>87</v>
      </c>
      <c r="G6" s="13" t="s">
        <v>88</v>
      </c>
      <c r="H6" s="13" t="s">
        <v>89</v>
      </c>
      <c r="I6" s="12" t="s">
        <v>90</v>
      </c>
      <c r="J6" s="12" t="s">
        <v>91</v>
      </c>
      <c r="K6" s="12" t="s">
        <v>92</v>
      </c>
      <c r="L6" s="12" t="s">
        <v>93</v>
      </c>
      <c r="M6" s="15" t="s">
        <v>94</v>
      </c>
      <c r="N6" s="19"/>
    </row>
    <row r="7">
      <c r="A7" s="11" t="s">
        <v>95</v>
      </c>
      <c r="B7" s="12" t="s">
        <v>96</v>
      </c>
      <c r="C7" s="12" t="s">
        <v>97</v>
      </c>
      <c r="D7" s="12" t="s">
        <v>98</v>
      </c>
      <c r="E7" s="13" t="s">
        <v>99</v>
      </c>
      <c r="F7" s="13" t="s">
        <v>100</v>
      </c>
      <c r="G7" s="13" t="s">
        <v>101</v>
      </c>
      <c r="H7" s="13" t="s">
        <v>102</v>
      </c>
      <c r="I7" s="12" t="s">
        <v>103</v>
      </c>
      <c r="J7" s="12" t="s">
        <v>104</v>
      </c>
      <c r="K7" s="12" t="s">
        <v>105</v>
      </c>
      <c r="L7" s="12" t="s">
        <v>106</v>
      </c>
      <c r="M7" s="15" t="s">
        <v>107</v>
      </c>
      <c r="N7" s="26"/>
    </row>
    <row r="8">
      <c r="A8" s="11" t="s">
        <v>108</v>
      </c>
      <c r="B8" s="12" t="s">
        <v>109</v>
      </c>
      <c r="C8" s="12" t="s">
        <v>110</v>
      </c>
      <c r="D8" s="12" t="s">
        <v>111</v>
      </c>
      <c r="E8" s="13" t="s">
        <v>112</v>
      </c>
      <c r="F8" s="13" t="s">
        <v>113</v>
      </c>
      <c r="G8" s="13" t="s">
        <v>114</v>
      </c>
      <c r="H8" s="13" t="s">
        <v>115</v>
      </c>
      <c r="I8" s="12" t="s">
        <v>116</v>
      </c>
      <c r="J8" s="12" t="s">
        <v>117</v>
      </c>
      <c r="K8" s="12" t="s">
        <v>118</v>
      </c>
      <c r="L8" s="12" t="s">
        <v>119</v>
      </c>
      <c r="M8" s="33" t="s">
        <v>120</v>
      </c>
    </row>
    <row r="9">
      <c r="A9" s="21" t="s">
        <v>121</v>
      </c>
      <c r="B9" s="12" t="s">
        <v>122</v>
      </c>
      <c r="C9" s="12" t="s">
        <v>123</v>
      </c>
      <c r="D9" s="12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2" t="s">
        <v>129</v>
      </c>
      <c r="J9" s="12" t="s">
        <v>130</v>
      </c>
      <c r="K9" s="12" t="s">
        <v>131</v>
      </c>
      <c r="L9" s="12" t="s">
        <v>132</v>
      </c>
      <c r="M9" s="12" t="s">
        <v>140</v>
      </c>
    </row>
    <row r="11">
      <c r="F11" s="37" t="s">
        <v>135</v>
      </c>
      <c r="G11" s="38"/>
      <c r="H11" s="41" t="s">
        <v>143</v>
      </c>
    </row>
    <row r="12">
      <c r="A12" s="22" t="s">
        <v>134</v>
      </c>
      <c r="B12" s="23"/>
      <c r="C12" s="43"/>
      <c r="F12" s="45" t="s">
        <v>138</v>
      </c>
      <c r="G12" s="32"/>
      <c r="H12" s="32"/>
      <c r="I12" s="32"/>
      <c r="J12" s="34"/>
    </row>
    <row r="13">
      <c r="F13" s="47" t="s">
        <v>145</v>
      </c>
      <c r="I13" s="48"/>
      <c r="J13" s="50" t="b">
        <v>1</v>
      </c>
    </row>
    <row r="14">
      <c r="A14" s="45" t="s">
        <v>137</v>
      </c>
      <c r="B14" s="34"/>
      <c r="F14" s="52" t="s">
        <v>149</v>
      </c>
      <c r="G14" s="40"/>
      <c r="H14" s="40"/>
      <c r="I14" s="29"/>
      <c r="J14" s="54" t="b">
        <v>1</v>
      </c>
    </row>
    <row r="15">
      <c r="A15" s="35" t="s">
        <v>139</v>
      </c>
      <c r="B15" s="36" t="s">
        <v>141</v>
      </c>
      <c r="F15" s="52" t="s">
        <v>152</v>
      </c>
      <c r="G15" s="40"/>
      <c r="H15" s="40"/>
      <c r="I15" s="29"/>
      <c r="J15" s="54" t="b">
        <v>1</v>
      </c>
    </row>
    <row r="16">
      <c r="A16" s="56"/>
      <c r="B16" s="57"/>
      <c r="F16" s="52" t="s">
        <v>154</v>
      </c>
      <c r="G16" s="40"/>
      <c r="H16" s="40"/>
      <c r="I16" s="29"/>
      <c r="J16" s="58" t="b">
        <v>0</v>
      </c>
    </row>
    <row r="17">
      <c r="A17" s="56" t="s">
        <v>155</v>
      </c>
      <c r="B17" s="57" t="s">
        <v>148</v>
      </c>
      <c r="F17" s="52" t="s">
        <v>156</v>
      </c>
      <c r="G17" s="40"/>
      <c r="H17" s="40"/>
      <c r="I17" s="29"/>
      <c r="J17" s="58" t="b">
        <v>0</v>
      </c>
    </row>
    <row r="18">
      <c r="A18" s="56" t="s">
        <v>157</v>
      </c>
      <c r="B18" s="59"/>
      <c r="F18" s="52" t="s">
        <v>158</v>
      </c>
      <c r="G18" s="40"/>
      <c r="H18" s="40"/>
      <c r="I18" s="29"/>
      <c r="J18" s="58" t="b">
        <v>0</v>
      </c>
    </row>
    <row r="19">
      <c r="A19" s="56" t="s">
        <v>159</v>
      </c>
      <c r="B19" s="59"/>
      <c r="F19" s="52" t="s">
        <v>160</v>
      </c>
      <c r="G19" s="40"/>
      <c r="H19" s="40"/>
      <c r="I19" s="29"/>
      <c r="J19" s="58" t="b">
        <v>0</v>
      </c>
    </row>
    <row r="20">
      <c r="A20" s="56" t="s">
        <v>161</v>
      </c>
      <c r="B20" s="59"/>
      <c r="F20" s="52" t="s">
        <v>162</v>
      </c>
      <c r="G20" s="40"/>
      <c r="H20" s="40"/>
      <c r="I20" s="29"/>
      <c r="J20" s="58" t="b">
        <v>0</v>
      </c>
    </row>
    <row r="21">
      <c r="A21" s="56" t="s">
        <v>164</v>
      </c>
      <c r="B21" s="59"/>
      <c r="F21" s="52" t="s">
        <v>165</v>
      </c>
      <c r="G21" s="40"/>
      <c r="H21" s="40"/>
      <c r="I21" s="29"/>
      <c r="J21" s="58" t="b">
        <v>0</v>
      </c>
    </row>
    <row r="22">
      <c r="A22" s="56" t="s">
        <v>166</v>
      </c>
      <c r="B22" s="59"/>
      <c r="F22" s="52" t="s">
        <v>167</v>
      </c>
      <c r="G22" s="40"/>
      <c r="H22" s="40"/>
      <c r="I22" s="29"/>
      <c r="J22" s="58" t="b">
        <v>0</v>
      </c>
    </row>
    <row r="23">
      <c r="A23" s="56" t="s">
        <v>169</v>
      </c>
      <c r="B23" s="59"/>
      <c r="F23" s="52" t="s">
        <v>170</v>
      </c>
      <c r="G23" s="40"/>
      <c r="H23" s="40"/>
      <c r="I23" s="29"/>
      <c r="J23" s="58" t="b">
        <v>0</v>
      </c>
    </row>
    <row r="24">
      <c r="A24" s="56" t="s">
        <v>171</v>
      </c>
      <c r="B24" s="59"/>
      <c r="F24" s="61" t="s">
        <v>172</v>
      </c>
      <c r="G24" s="62"/>
      <c r="H24" s="62"/>
      <c r="I24" s="63"/>
      <c r="J24" s="64" t="b">
        <v>0</v>
      </c>
    </row>
    <row r="25">
      <c r="A25" s="53" t="s">
        <v>174</v>
      </c>
      <c r="B25" s="66"/>
    </row>
    <row r="26">
      <c r="A26" s="67"/>
      <c r="B26" s="69"/>
      <c r="C26" s="67"/>
    </row>
    <row r="28" ht="50.25" customHeight="1">
      <c r="A28" s="71" t="s">
        <v>175</v>
      </c>
      <c r="B28" s="40"/>
      <c r="C28" s="29"/>
      <c r="F28" s="72" t="s">
        <v>176</v>
      </c>
      <c r="G28" s="73"/>
      <c r="H28" s="73"/>
      <c r="I28" s="73"/>
      <c r="J28" s="73"/>
      <c r="K28" s="73"/>
      <c r="L28" s="73"/>
      <c r="M28" s="74"/>
    </row>
    <row r="29" ht="23.25" customHeight="1">
      <c r="A29" s="75" t="s">
        <v>177</v>
      </c>
      <c r="B29" s="76">
        <f>COUNTA($B$2:$L$9,$M$9)</f>
        <v>89</v>
      </c>
      <c r="C29" s="77" t="s">
        <v>179</v>
      </c>
      <c r="F29" s="78"/>
      <c r="G29" s="79"/>
      <c r="H29" s="79"/>
      <c r="I29" s="79"/>
      <c r="J29" s="79"/>
      <c r="K29" s="79"/>
      <c r="L29" s="79"/>
      <c r="M29" s="80"/>
    </row>
    <row r="30">
      <c r="A30" s="75" t="s">
        <v>180</v>
      </c>
      <c r="B30" s="81">
        <v>1.2</v>
      </c>
      <c r="C30" s="77" t="s">
        <v>181</v>
      </c>
      <c r="F30" s="82"/>
      <c r="M30" s="83"/>
    </row>
    <row r="31">
      <c r="A31" s="84"/>
      <c r="B31" s="84"/>
      <c r="C31" s="86"/>
      <c r="F31" s="82"/>
      <c r="M31" s="83"/>
    </row>
    <row r="32">
      <c r="A32" s="88" t="s">
        <v>182</v>
      </c>
      <c r="B32" s="32"/>
      <c r="C32" s="34"/>
      <c r="F32" s="82"/>
      <c r="M32" s="83"/>
    </row>
    <row r="33">
      <c r="A33" s="87" t="s">
        <v>185</v>
      </c>
      <c r="B33" s="89" t="s">
        <v>184</v>
      </c>
      <c r="C33" s="90" t="s">
        <v>186</v>
      </c>
      <c r="D33" s="91" t="s">
        <v>187</v>
      </c>
      <c r="F33" s="82"/>
      <c r="M33" s="83"/>
    </row>
    <row r="34">
      <c r="A34" s="93" t="s">
        <v>188</v>
      </c>
      <c r="B34" s="95">
        <v>60.0</v>
      </c>
      <c r="C34" s="96">
        <f t="shared" ref="C34:C37" si="1">B34*$B$29*$B$30</f>
        <v>6408</v>
      </c>
      <c r="D34" s="97" t="b">
        <v>0</v>
      </c>
      <c r="F34" s="82"/>
      <c r="M34" s="83"/>
    </row>
    <row r="35">
      <c r="A35" s="93" t="s">
        <v>164</v>
      </c>
      <c r="B35" s="95">
        <v>1.0</v>
      </c>
      <c r="C35" s="96">
        <f t="shared" si="1"/>
        <v>106.8</v>
      </c>
      <c r="D35" s="97" t="b">
        <v>0</v>
      </c>
      <c r="F35" s="82"/>
      <c r="M35" s="83"/>
    </row>
    <row r="36">
      <c r="A36" s="93" t="s">
        <v>189</v>
      </c>
      <c r="B36" s="95">
        <v>70.0</v>
      </c>
      <c r="C36" s="96">
        <f t="shared" si="1"/>
        <v>7476</v>
      </c>
      <c r="D36" s="97" t="b">
        <v>0</v>
      </c>
      <c r="F36" s="82"/>
      <c r="M36" s="83"/>
    </row>
    <row r="37">
      <c r="A37" s="98" t="s">
        <v>190</v>
      </c>
      <c r="B37" s="99">
        <f>sum(B34:B36)</f>
        <v>131</v>
      </c>
      <c r="C37" s="96">
        <f t="shared" si="1"/>
        <v>13990.8</v>
      </c>
      <c r="F37" s="82"/>
      <c r="M37" s="83"/>
    </row>
    <row r="38">
      <c r="A38" s="100" t="s">
        <v>191</v>
      </c>
      <c r="B38" s="69">
        <v>8.0</v>
      </c>
      <c r="C38" s="101">
        <f>C37/B38</f>
        <v>1748.85</v>
      </c>
      <c r="F38" s="82"/>
      <c r="M38" s="83"/>
    </row>
    <row r="39">
      <c r="A39" s="102"/>
      <c r="B39" s="67"/>
      <c r="C39" s="101"/>
      <c r="F39" s="82"/>
      <c r="M39" s="83"/>
    </row>
    <row r="40">
      <c r="A40" s="103" t="s">
        <v>192</v>
      </c>
      <c r="B40" s="104" t="s">
        <v>184</v>
      </c>
      <c r="C40" s="105" t="s">
        <v>186</v>
      </c>
      <c r="F40" s="82"/>
      <c r="M40" s="83"/>
    </row>
    <row r="41">
      <c r="A41" s="106" t="s">
        <v>194</v>
      </c>
      <c r="B41" s="107">
        <v>5.0</v>
      </c>
      <c r="C41" s="96">
        <f t="shared" ref="C41:C43" si="2">B41*$B$29*$B$30</f>
        <v>534</v>
      </c>
      <c r="D41" s="108" t="b">
        <v>0</v>
      </c>
      <c r="F41" s="82"/>
      <c r="M41" s="83"/>
    </row>
    <row r="42">
      <c r="A42" s="106" t="s">
        <v>195</v>
      </c>
      <c r="B42" s="107">
        <v>5.0</v>
      </c>
      <c r="C42" s="96">
        <f t="shared" si="2"/>
        <v>534</v>
      </c>
      <c r="D42" s="97" t="b">
        <v>0</v>
      </c>
      <c r="F42" s="82"/>
      <c r="M42" s="83"/>
    </row>
    <row r="43">
      <c r="A43" s="109" t="s">
        <v>190</v>
      </c>
      <c r="B43" s="110">
        <f>sum(B41:B42)</f>
        <v>10</v>
      </c>
      <c r="C43" s="96">
        <f t="shared" si="2"/>
        <v>1068</v>
      </c>
      <c r="D43" s="97" t="b">
        <v>0</v>
      </c>
      <c r="F43" s="82"/>
      <c r="M43" s="83"/>
    </row>
    <row r="44">
      <c r="A44" s="111" t="s">
        <v>191</v>
      </c>
      <c r="B44" s="112">
        <v>8.0</v>
      </c>
      <c r="C44" s="113">
        <f>C43/B44</f>
        <v>133.5</v>
      </c>
      <c r="F44" s="82"/>
      <c r="M44" s="83"/>
    </row>
    <row r="45">
      <c r="F45" s="114" t="s">
        <v>196</v>
      </c>
      <c r="G45" s="115"/>
      <c r="H45" s="115"/>
      <c r="I45" s="115"/>
      <c r="J45" s="115"/>
      <c r="K45" s="115"/>
      <c r="L45" s="115"/>
      <c r="M45" s="116"/>
    </row>
    <row r="46">
      <c r="A46" s="118" t="s">
        <v>198</v>
      </c>
      <c r="B46" s="118" t="s">
        <v>199</v>
      </c>
      <c r="C46" s="118" t="s">
        <v>200</v>
      </c>
    </row>
    <row r="47">
      <c r="A47" s="124" t="s">
        <v>201</v>
      </c>
      <c r="B47" s="125">
        <v>200.0</v>
      </c>
      <c r="C47" s="126">
        <f>2*B47*$B$29*$B$30</f>
        <v>42720</v>
      </c>
      <c r="D47" s="97" t="b">
        <v>0</v>
      </c>
    </row>
    <row r="48">
      <c r="A48" s="124" t="s">
        <v>171</v>
      </c>
      <c r="B48" s="125">
        <v>200.0</v>
      </c>
      <c r="C48" s="126">
        <f t="shared" ref="C48:C49" si="3">B48*$B$29*$B$30</f>
        <v>21360</v>
      </c>
      <c r="D48" s="97" t="b">
        <v>0</v>
      </c>
    </row>
    <row r="49">
      <c r="A49" s="127" t="s">
        <v>202</v>
      </c>
      <c r="B49" s="126">
        <v>50.0</v>
      </c>
      <c r="C49" s="126">
        <f t="shared" si="3"/>
        <v>5340</v>
      </c>
      <c r="D49" s="97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2"/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</row>
    <row r="2">
      <c r="A2" s="11" t="s">
        <v>29</v>
      </c>
      <c r="B2" s="12" t="s">
        <v>30</v>
      </c>
      <c r="C2" s="12" t="s">
        <v>31</v>
      </c>
      <c r="D2" s="12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4" t="s">
        <v>41</v>
      </c>
    </row>
    <row r="3">
      <c r="A3" s="11" t="s">
        <v>42</v>
      </c>
      <c r="B3" s="12" t="s">
        <v>43</v>
      </c>
      <c r="C3" s="12" t="s">
        <v>44</v>
      </c>
      <c r="D3" s="12" t="s">
        <v>45</v>
      </c>
      <c r="E3" s="13" t="s">
        <v>46</v>
      </c>
      <c r="F3" s="13" t="s">
        <v>47</v>
      </c>
      <c r="G3" s="13" t="s">
        <v>48</v>
      </c>
      <c r="H3" s="13" t="s">
        <v>49</v>
      </c>
      <c r="I3" s="12" t="s">
        <v>50</v>
      </c>
      <c r="J3" s="12" t="s">
        <v>51</v>
      </c>
      <c r="K3" s="12" t="s">
        <v>52</v>
      </c>
      <c r="L3" s="12" t="s">
        <v>53</v>
      </c>
      <c r="M3" s="16" t="s">
        <v>54</v>
      </c>
    </row>
    <row r="4">
      <c r="A4" s="11" t="s">
        <v>56</v>
      </c>
      <c r="B4" s="12" t="s">
        <v>57</v>
      </c>
      <c r="C4" s="12" t="s">
        <v>58</v>
      </c>
      <c r="D4" s="12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2" t="s">
        <v>64</v>
      </c>
      <c r="J4" s="12" t="s">
        <v>65</v>
      </c>
      <c r="K4" s="12" t="s">
        <v>66</v>
      </c>
      <c r="L4" s="12" t="s">
        <v>67</v>
      </c>
      <c r="M4" s="18" t="s">
        <v>68</v>
      </c>
    </row>
    <row r="5">
      <c r="A5" s="11" t="s">
        <v>69</v>
      </c>
      <c r="B5" s="12" t="s">
        <v>70</v>
      </c>
      <c r="C5" s="12" t="s">
        <v>71</v>
      </c>
      <c r="D5" s="12" t="s">
        <v>72</v>
      </c>
      <c r="E5" s="13" t="s">
        <v>73</v>
      </c>
      <c r="F5" s="13" t="s">
        <v>74</v>
      </c>
      <c r="G5" s="13" t="s">
        <v>75</v>
      </c>
      <c r="H5" s="13" t="s">
        <v>76</v>
      </c>
      <c r="I5" s="12" t="s">
        <v>77</v>
      </c>
      <c r="J5" s="12" t="s">
        <v>78</v>
      </c>
      <c r="K5" s="12" t="s">
        <v>79</v>
      </c>
      <c r="L5" s="12" t="s">
        <v>80</v>
      </c>
      <c r="M5" s="14" t="s">
        <v>81</v>
      </c>
    </row>
    <row r="6">
      <c r="A6" s="11" t="s">
        <v>82</v>
      </c>
      <c r="B6" s="12" t="s">
        <v>83</v>
      </c>
      <c r="C6" s="12" t="s">
        <v>84</v>
      </c>
      <c r="D6" s="12" t="s">
        <v>85</v>
      </c>
      <c r="E6" s="13" t="s">
        <v>86</v>
      </c>
      <c r="F6" s="13" t="s">
        <v>87</v>
      </c>
      <c r="G6" s="13" t="s">
        <v>88</v>
      </c>
      <c r="H6" s="13" t="s">
        <v>89</v>
      </c>
      <c r="I6" s="12" t="s">
        <v>90</v>
      </c>
      <c r="J6" s="12" t="s">
        <v>91</v>
      </c>
      <c r="K6" s="12" t="s">
        <v>92</v>
      </c>
      <c r="L6" s="12" t="s">
        <v>93</v>
      </c>
      <c r="M6" s="16" t="s">
        <v>94</v>
      </c>
    </row>
    <row r="7">
      <c r="A7" s="11" t="s">
        <v>95</v>
      </c>
      <c r="B7" s="12" t="s">
        <v>96</v>
      </c>
      <c r="C7" s="12" t="s">
        <v>97</v>
      </c>
      <c r="D7" s="12" t="s">
        <v>98</v>
      </c>
      <c r="E7" s="13" t="s">
        <v>99</v>
      </c>
      <c r="F7" s="13" t="s">
        <v>100</v>
      </c>
      <c r="G7" s="13" t="s">
        <v>101</v>
      </c>
      <c r="H7" s="13" t="s">
        <v>102</v>
      </c>
      <c r="I7" s="12" t="s">
        <v>103</v>
      </c>
      <c r="J7" s="12" t="s">
        <v>104</v>
      </c>
      <c r="K7" s="12" t="s">
        <v>105</v>
      </c>
      <c r="L7" s="12" t="s">
        <v>106</v>
      </c>
      <c r="M7" s="18" t="s">
        <v>107</v>
      </c>
    </row>
    <row r="8">
      <c r="A8" s="11" t="s">
        <v>108</v>
      </c>
      <c r="B8" s="12" t="s">
        <v>109</v>
      </c>
      <c r="C8" s="12" t="s">
        <v>110</v>
      </c>
      <c r="D8" s="12" t="s">
        <v>111</v>
      </c>
      <c r="E8" s="13" t="s">
        <v>112</v>
      </c>
      <c r="F8" s="13" t="s">
        <v>113</v>
      </c>
      <c r="G8" s="13" t="s">
        <v>114</v>
      </c>
      <c r="H8" s="13" t="s">
        <v>115</v>
      </c>
      <c r="I8" s="12" t="s">
        <v>116</v>
      </c>
      <c r="J8" s="12" t="s">
        <v>117</v>
      </c>
      <c r="K8" s="12" t="s">
        <v>118</v>
      </c>
      <c r="L8" s="12" t="s">
        <v>119</v>
      </c>
      <c r="M8" s="20" t="s">
        <v>120</v>
      </c>
    </row>
    <row r="9">
      <c r="A9" s="21" t="s">
        <v>121</v>
      </c>
      <c r="B9" s="12" t="s">
        <v>122</v>
      </c>
      <c r="C9" s="12" t="s">
        <v>123</v>
      </c>
      <c r="D9" s="12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2" t="s">
        <v>129</v>
      </c>
      <c r="J9" s="12" t="s">
        <v>130</v>
      </c>
      <c r="K9" s="12" t="s">
        <v>131</v>
      </c>
      <c r="L9" s="12" t="s">
        <v>132</v>
      </c>
      <c r="M9" s="12" t="s">
        <v>133</v>
      </c>
    </row>
    <row r="11">
      <c r="A11" s="22" t="s">
        <v>134</v>
      </c>
      <c r="B11" s="23"/>
      <c r="C11" s="24"/>
    </row>
    <row r="13">
      <c r="E13" s="25" t="s">
        <v>135</v>
      </c>
      <c r="G13" s="27" t="s">
        <v>136</v>
      </c>
    </row>
    <row r="14">
      <c r="A14" s="28" t="s">
        <v>137</v>
      </c>
      <c r="B14" s="29"/>
      <c r="C14" s="30"/>
      <c r="E14" s="31" t="s">
        <v>138</v>
      </c>
      <c r="F14" s="32"/>
      <c r="G14" s="32"/>
      <c r="H14" s="32"/>
      <c r="I14" s="34"/>
    </row>
    <row r="15">
      <c r="A15" s="35" t="s">
        <v>139</v>
      </c>
      <c r="B15" s="36" t="s">
        <v>141</v>
      </c>
      <c r="E15" s="39" t="s">
        <v>142</v>
      </c>
      <c r="F15" s="40"/>
      <c r="G15" s="40"/>
      <c r="H15" s="29"/>
      <c r="I15" s="42" t="b">
        <v>0</v>
      </c>
    </row>
    <row r="16">
      <c r="A16" s="44" t="s">
        <v>144</v>
      </c>
      <c r="B16" s="46"/>
      <c r="E16" s="49" t="s">
        <v>146</v>
      </c>
      <c r="F16" s="40"/>
      <c r="G16" s="40"/>
      <c r="H16" s="29"/>
      <c r="I16" s="42" t="b">
        <v>0</v>
      </c>
    </row>
    <row r="17">
      <c r="A17" s="44" t="s">
        <v>147</v>
      </c>
      <c r="B17" s="51" t="s">
        <v>148</v>
      </c>
      <c r="E17" s="49" t="s">
        <v>150</v>
      </c>
      <c r="F17" s="40"/>
      <c r="G17" s="40"/>
      <c r="H17" s="29"/>
      <c r="I17" s="42" t="b">
        <v>0</v>
      </c>
    </row>
    <row r="18">
      <c r="A18" s="53" t="s">
        <v>151</v>
      </c>
      <c r="B18" s="55"/>
      <c r="E18" s="49" t="s">
        <v>153</v>
      </c>
      <c r="F18" s="40"/>
      <c r="G18" s="40"/>
      <c r="H18" s="29"/>
      <c r="I18" s="42" t="b">
        <v>0</v>
      </c>
    </row>
    <row r="19">
      <c r="A19" s="53" t="s">
        <v>163</v>
      </c>
      <c r="B19" s="60" t="s">
        <v>148</v>
      </c>
      <c r="E19" s="49" t="s">
        <v>168</v>
      </c>
      <c r="F19" s="40"/>
      <c r="G19" s="40"/>
      <c r="H19" s="29"/>
      <c r="I19" s="42" t="b">
        <v>0</v>
      </c>
    </row>
    <row r="20">
      <c r="E20" s="39" t="s">
        <v>173</v>
      </c>
      <c r="F20" s="40"/>
      <c r="G20" s="40"/>
      <c r="H20" s="29"/>
      <c r="I20" s="65" t="b">
        <v>0</v>
      </c>
    </row>
    <row r="21">
      <c r="A21" s="67"/>
      <c r="B21" s="67"/>
      <c r="C21" s="67"/>
      <c r="E21" s="68"/>
      <c r="F21" s="68"/>
      <c r="G21" s="68"/>
      <c r="H21" s="68"/>
    </row>
    <row r="22">
      <c r="A22" s="67"/>
      <c r="B22" s="67"/>
      <c r="C22" s="67"/>
      <c r="E22" s="68"/>
      <c r="F22" s="68"/>
      <c r="G22" s="68"/>
      <c r="H22" s="68"/>
    </row>
    <row r="23">
      <c r="A23" s="67"/>
      <c r="B23" s="67"/>
      <c r="C23" s="67"/>
      <c r="E23" s="68"/>
      <c r="F23" s="68"/>
      <c r="G23" s="68"/>
      <c r="H23" s="68"/>
    </row>
    <row r="24">
      <c r="A24" s="67"/>
      <c r="B24" s="67"/>
      <c r="C24" s="67"/>
      <c r="E24" s="68"/>
    </row>
    <row r="25">
      <c r="A25" s="70" t="s">
        <v>175</v>
      </c>
      <c r="B25" s="40"/>
      <c r="C25" s="29"/>
      <c r="E25" s="72" t="s">
        <v>176</v>
      </c>
      <c r="F25" s="73"/>
      <c r="G25" s="73"/>
      <c r="H25" s="73"/>
      <c r="I25" s="73"/>
      <c r="J25" s="73"/>
      <c r="K25" s="73"/>
      <c r="L25" s="74"/>
    </row>
    <row r="26" ht="42.75" customHeight="1">
      <c r="A26" s="75" t="s">
        <v>177</v>
      </c>
      <c r="B26" s="76">
        <f>COUNTA($B$2:$M$9)</f>
        <v>96</v>
      </c>
      <c r="C26" s="77" t="s">
        <v>178</v>
      </c>
      <c r="E26" s="78"/>
      <c r="F26" s="79"/>
      <c r="G26" s="79"/>
      <c r="H26" s="79"/>
      <c r="I26" s="79"/>
      <c r="J26" s="79"/>
      <c r="K26" s="79"/>
      <c r="L26" s="80"/>
    </row>
    <row r="27" ht="59.25" customHeight="1">
      <c r="A27" s="75" t="s">
        <v>180</v>
      </c>
      <c r="B27" s="81">
        <v>1.2</v>
      </c>
      <c r="C27" s="77" t="s">
        <v>181</v>
      </c>
      <c r="E27" s="82"/>
      <c r="L27" s="83"/>
    </row>
    <row r="28">
      <c r="E28" s="82"/>
      <c r="L28" s="83"/>
    </row>
    <row r="29">
      <c r="E29" s="82"/>
      <c r="L29" s="83"/>
    </row>
    <row r="30">
      <c r="A30" s="85" t="s">
        <v>182</v>
      </c>
      <c r="B30" s="32"/>
      <c r="C30" s="34"/>
      <c r="E30" s="82"/>
      <c r="L30" s="83"/>
    </row>
    <row r="31">
      <c r="A31" s="87" t="s">
        <v>183</v>
      </c>
      <c r="B31" s="89" t="s">
        <v>184</v>
      </c>
      <c r="C31" s="90" t="s">
        <v>186</v>
      </c>
      <c r="E31" s="82"/>
      <c r="L31" s="83"/>
    </row>
    <row r="32">
      <c r="A32" s="92" t="s">
        <v>144</v>
      </c>
      <c r="B32" s="94">
        <v>10.0</v>
      </c>
      <c r="C32" s="96">
        <f t="shared" ref="C32:C34" si="1">B32*$B$26*$B$27</f>
        <v>1152</v>
      </c>
      <c r="E32" s="82"/>
      <c r="L32" s="83"/>
    </row>
    <row r="33">
      <c r="A33" s="92" t="s">
        <v>193</v>
      </c>
      <c r="B33" s="94">
        <v>4.0</v>
      </c>
      <c r="C33" s="96">
        <f t="shared" si="1"/>
        <v>460.8</v>
      </c>
      <c r="E33" s="82"/>
      <c r="L33" s="83"/>
    </row>
    <row r="34">
      <c r="A34" s="92" t="s">
        <v>197</v>
      </c>
      <c r="B34" s="94">
        <v>1.0</v>
      </c>
      <c r="C34" s="96">
        <f t="shared" si="1"/>
        <v>115.2</v>
      </c>
      <c r="E34" s="82"/>
      <c r="L34" s="83"/>
    </row>
    <row r="35">
      <c r="A35" s="98" t="s">
        <v>190</v>
      </c>
      <c r="B35" s="117">
        <f t="shared" ref="B35:C35" si="2">sum(B32:B34)</f>
        <v>15</v>
      </c>
      <c r="C35" s="96">
        <f t="shared" si="2"/>
        <v>1728</v>
      </c>
      <c r="E35" s="82"/>
      <c r="L35" s="83"/>
    </row>
    <row r="36">
      <c r="A36" s="111" t="s">
        <v>191</v>
      </c>
      <c r="B36" s="112">
        <v>8.0</v>
      </c>
      <c r="C36" s="113">
        <f>C35/B36</f>
        <v>216</v>
      </c>
      <c r="E36" s="82"/>
      <c r="L36" s="83"/>
    </row>
    <row r="37">
      <c r="E37" s="82"/>
      <c r="L37" s="83"/>
    </row>
    <row r="38">
      <c r="E38" s="82"/>
      <c r="L38" s="83"/>
    </row>
    <row r="39">
      <c r="E39" s="82"/>
      <c r="L39" s="83"/>
    </row>
    <row r="40">
      <c r="E40" s="82"/>
      <c r="L40" s="83"/>
    </row>
    <row r="41">
      <c r="E41" s="82"/>
      <c r="L41" s="83"/>
    </row>
    <row r="42">
      <c r="A42" s="67"/>
      <c r="B42" s="67"/>
      <c r="C42" s="67"/>
      <c r="E42" s="114" t="s">
        <v>196</v>
      </c>
      <c r="F42" s="115"/>
      <c r="G42" s="115"/>
      <c r="H42" s="115"/>
      <c r="I42" s="115"/>
      <c r="J42" s="115"/>
      <c r="K42" s="115"/>
      <c r="L42" s="116"/>
    </row>
    <row r="43">
      <c r="A43" s="67"/>
      <c r="B43" s="67"/>
      <c r="C43" s="67"/>
    </row>
    <row r="44">
      <c r="A44" s="119"/>
      <c r="B44" s="120"/>
      <c r="C44" s="119"/>
    </row>
    <row r="45">
      <c r="A45" s="121"/>
      <c r="B45" s="122"/>
      <c r="C45" s="123"/>
    </row>
    <row r="46">
      <c r="A46" s="121"/>
      <c r="B46" s="122"/>
      <c r="C46" s="123"/>
    </row>
    <row r="47">
      <c r="A47" s="120"/>
      <c r="B47" s="119"/>
      <c r="C47" s="123"/>
    </row>
    <row r="48">
      <c r="A48" s="67"/>
      <c r="B48" s="67"/>
      <c r="C48" s="67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0</v>
      </c>
    </row>
    <row r="3">
      <c r="A3" s="6" t="s">
        <v>5</v>
      </c>
    </row>
    <row r="4">
      <c r="A4" s="6" t="s">
        <v>14</v>
      </c>
    </row>
    <row r="5">
      <c r="A5" s="6" t="s">
        <v>15</v>
      </c>
    </row>
    <row r="6">
      <c r="A6" s="6" t="s">
        <v>16</v>
      </c>
    </row>
    <row r="7">
      <c r="A7" s="6" t="s">
        <v>17</v>
      </c>
    </row>
    <row r="8">
      <c r="A8" s="6" t="s">
        <v>18</v>
      </c>
    </row>
    <row r="9">
      <c r="A9" s="6" t="s">
        <v>19</v>
      </c>
    </row>
    <row r="10">
      <c r="A10" s="6" t="s">
        <v>21</v>
      </c>
    </row>
    <row r="11">
      <c r="A11" s="6" t="s">
        <v>23</v>
      </c>
    </row>
    <row r="12">
      <c r="A12" s="6" t="s">
        <v>24</v>
      </c>
    </row>
    <row r="13">
      <c r="A13" s="6" t="s">
        <v>25</v>
      </c>
    </row>
    <row r="14">
      <c r="A14" s="6" t="s">
        <v>26</v>
      </c>
    </row>
    <row r="15">
      <c r="A15" s="6" t="s">
        <v>27</v>
      </c>
    </row>
    <row r="16">
      <c r="A16" s="6" t="s">
        <v>28</v>
      </c>
    </row>
  </sheetData>
  <drawing r:id="rId1"/>
</worksheet>
</file>