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<sst xmlns="http://schemas.openxmlformats.org/spreadsheetml/2006/main" count="332" uniqueCount="203">
  <si>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</si>
  <si>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</si>
  <si>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</si>
  <si>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</si>
  <si>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</si>
  <si>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</si>
  <si>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</si>
  <si>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take samples from the datasheet folder and use the platemap converter to get into platemap format</t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</si>
  <si>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</si>
  <si>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</si>
  <si>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</si>
  <si>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</si>
  <si>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</si>
  <si>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</si>
  <si>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</si>
  <si>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CSU-25280</t>
  </si>
  <si>
    <t>CSU-25288</t>
  </si>
  <si>
    <t>CSU-25296</t>
  </si>
  <si>
    <t>CSU-25304</t>
  </si>
  <si>
    <t>CSU-25312</t>
  </si>
  <si>
    <t>CSU-25320</t>
  </si>
  <si>
    <t>CSU-25328</t>
  </si>
  <si>
    <t>CSU-25336</t>
  </si>
  <si>
    <t>CSU-25344</t>
  </si>
  <si>
    <t>CSU-25352</t>
  </si>
  <si>
    <t>CSU-25360</t>
  </si>
  <si>
    <t>wnv_std_1e6</t>
  </si>
  <si>
    <t>added in pcr*</t>
  </si>
  <si>
    <t>B</t>
  </si>
  <si>
    <t>CSU-25281</t>
  </si>
  <si>
    <t>CSU-25289</t>
  </si>
  <si>
    <t>CSU-25297</t>
  </si>
  <si>
    <t>CSU-25305</t>
  </si>
  <si>
    <t>CSU-25313</t>
  </si>
  <si>
    <t>CSU-25321</t>
  </si>
  <si>
    <t>CSU-25329</t>
  </si>
  <si>
    <t>CSU-25337</t>
  </si>
  <si>
    <t>CSU-25345</t>
  </si>
  <si>
    <t>CSU-25353</t>
  </si>
  <si>
    <t>CSU-25361</t>
  </si>
  <si>
    <t>wnv_std_1e4</t>
  </si>
  <si>
    <t>C</t>
  </si>
  <si>
    <t>CSU-25282</t>
  </si>
  <si>
    <t>CSU-25290</t>
  </si>
  <si>
    <t>CSU-25298</t>
  </si>
  <si>
    <t>CSU-25306</t>
  </si>
  <si>
    <t>CSU-25314</t>
  </si>
  <si>
    <t>CSU-25322</t>
  </si>
  <si>
    <t>CSU-25330</t>
  </si>
  <si>
    <t>CSU-25338</t>
  </si>
  <si>
    <t>CSU-25346</t>
  </si>
  <si>
    <t>CSU-25354</t>
  </si>
  <si>
    <t>CSU-25362</t>
  </si>
  <si>
    <t>wnv_std_1e2</t>
  </si>
  <si>
    <t>D</t>
  </si>
  <si>
    <t>CSU-25283</t>
  </si>
  <si>
    <t>CSU-25291</t>
  </si>
  <si>
    <t>CSU-25299</t>
  </si>
  <si>
    <t>CSU-25307</t>
  </si>
  <si>
    <t>CSU-25315</t>
  </si>
  <si>
    <t>CSU-25323</t>
  </si>
  <si>
    <t>CSU-25331</t>
  </si>
  <si>
    <t>CSU-25339</t>
  </si>
  <si>
    <t>CSU-25347</t>
  </si>
  <si>
    <t>CSU-25355</t>
  </si>
  <si>
    <t>CSU-25363</t>
  </si>
  <si>
    <t>slev_std_1e6</t>
  </si>
  <si>
    <t>E</t>
  </si>
  <si>
    <t>CSU-25284</t>
  </si>
  <si>
    <t>CSU-25292</t>
  </si>
  <si>
    <t>CSU-25300</t>
  </si>
  <si>
    <t>CSU-25308</t>
  </si>
  <si>
    <t>CSU-25316</t>
  </si>
  <si>
    <t>CSU-25324</t>
  </si>
  <si>
    <t>CSU-25332</t>
  </si>
  <si>
    <t>CSU-25340</t>
  </si>
  <si>
    <t>CSU-25348</t>
  </si>
  <si>
    <t>CSU-25356</t>
  </si>
  <si>
    <t>CSU-25364</t>
  </si>
  <si>
    <t>slev_std_1e4</t>
  </si>
  <si>
    <t>F</t>
  </si>
  <si>
    <t>CSU-25285</t>
  </si>
  <si>
    <t>CSU-25293</t>
  </si>
  <si>
    <t>CSU-25301</t>
  </si>
  <si>
    <t>CSU-25309</t>
  </si>
  <si>
    <t>CSU-25317</t>
  </si>
  <si>
    <t>CSU-25325</t>
  </si>
  <si>
    <t>CSU-25333</t>
  </si>
  <si>
    <t>CSU-25341</t>
  </si>
  <si>
    <t>CSU-25349</t>
  </si>
  <si>
    <t>CSU-25357</t>
  </si>
  <si>
    <t>CSU-25365</t>
  </si>
  <si>
    <t>slev_std_1e2</t>
  </si>
  <si>
    <t>G</t>
  </si>
  <si>
    <t>CSU-25286</t>
  </si>
  <si>
    <t>CSU-25294</t>
  </si>
  <si>
    <t>CSU-25302</t>
  </si>
  <si>
    <t>CSU-25310</t>
  </si>
  <si>
    <t>CSU-25318</t>
  </si>
  <si>
    <t>CSU-25326</t>
  </si>
  <si>
    <t>CSU-25334</t>
  </si>
  <si>
    <t>CSU-25342</t>
  </si>
  <si>
    <t>CSU-25350</t>
  </si>
  <si>
    <t>CSU-25358</t>
  </si>
  <si>
    <t>CSU-25366</t>
  </si>
  <si>
    <t>neg pcr ctrl</t>
  </si>
  <si>
    <t>H</t>
  </si>
  <si>
    <t>CSU-25287</t>
  </si>
  <si>
    <t>CSU-25295</t>
  </si>
  <si>
    <t>CSU-25303</t>
  </si>
  <si>
    <t>CSU-25311</t>
  </si>
  <si>
    <t>CSU-25319</t>
  </si>
  <si>
    <t>CSU-25327</t>
  </si>
  <si>
    <t>CSU-25335</t>
  </si>
  <si>
    <t>CSU-25343</t>
  </si>
  <si>
    <t>CSU-25351</t>
  </si>
  <si>
    <t>CSU-25359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</si>
  <si>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</si>
  <si>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</si>
  <si>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</si>
  <si>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</si>
  <si>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</si>
  <si>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</si>
  <si>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</si>
  <si>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</si>
  <si>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</si>
  <si>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</si>
  <si>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Lot/ID</t>
  </si>
  <si>
    <t>ethanol added to VHB  (check mark on bottle)</t>
  </si>
  <si>
    <t>positve and negative extraction controls added</t>
  </si>
  <si>
    <t>Kingfisher</t>
  </si>
  <si>
    <t>NA</t>
  </si>
  <si>
    <t>beads at room temp</t>
  </si>
  <si>
    <t>TNA Lysis Buffer</t>
  </si>
  <si>
    <t>beads vortexed</t>
  </si>
  <si>
    <t>Isopropanol</t>
  </si>
  <si>
    <t>beads and proteanase K thoroughly mixed prior to dispensing</t>
  </si>
  <si>
    <t>Proteanase K</t>
  </si>
  <si>
    <t>maintenance plate run done prior to sample run</t>
  </si>
  <si>
    <t>linear acrylamide</t>
  </si>
  <si>
    <t>A1 of sample plate oriented to A1 in machine</t>
  </si>
  <si>
    <t>magbind beads</t>
  </si>
  <si>
    <t>Return tip plate to top of robot</t>
  </si>
  <si>
    <t>SPR</t>
  </si>
  <si>
    <t>VHB, SPR and SAMPLE Plates liquid in sink plates in gargabe</t>
  </si>
  <si>
    <t>VHB</t>
  </si>
  <si>
    <t>Elution plate sealed with microseal B and in freezer/fridge or immediately processed</t>
  </si>
  <si>
    <t>dfh20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</si>
  <si>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</si>
  <si>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</si>
  <si>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</si>
  <si>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</si>
  <si>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</si>
  <si>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</si>
  <si>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</si>
  <si>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</si>
  <si>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</si>
  <si>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</si>
  <si>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</si>
  <si>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</si>
  <si>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</si>
  <si>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</si>
  <si>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</si>
  <si>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</si>
  <si>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</si>
  <si>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</si>
  <si>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</si>
  <si>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</si>
  <si>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</si>
  <si>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</si>
  <si>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</si>
  <si>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</si>
  <si>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</si>
  <si>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</si>
  <si>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positive extraction control</t>
  </si>
  <si>
    <t>Mastermix</t>
  </si>
  <si>
    <t>neg pcr control added</t>
  </si>
  <si>
    <t>primer probe</t>
  </si>
  <si>
    <t>standards added</t>
  </si>
  <si>
    <t>RT enzyme</t>
  </si>
  <si>
    <t>Reagents put back in -4 C</t>
  </si>
  <si>
    <t>standards</t>
  </si>
  <si>
    <t>baseline threshold changed to 34000 and hit Analyze</t>
  </si>
  <si>
    <t>Export .xls file with named "SS-y####-w#-p#-pcr"</t>
  </si>
  <si>
    <t>non blank values in platemap</t>
  </si>
  <si>
    <t xml:space="preserve"> MM1 Reagent</t>
  </si>
  <si>
    <t>Primer probe</t>
  </si>
  <si>
    <t>RT</t>
  </si>
  <si>
    <t>QC and setting thresholds</t>
  </si>
  <si>
    <t>When the run is complete, eject the plate and throw it in the garbage.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</si>
  <si>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</si>
  <si>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</si>
  <si>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The software should now automatically set the threshold to 34000, but it can be updated manually:</t>
  </si>
  <si>
    <t>From ‘All Targets’ dropdown, select your target (SLEV or WNV)</t>
  </si>
  <si>
    <t>Click eye icon, unclick ‘auto’ next to threshold, and type in 34,000.</t>
  </si>
  <si>
    <t>Do the same thing for the other target (WNV or SLEV).</t>
  </si>
  <si>
    <t>Click “analyze” in the top right corner.</t>
  </si>
  <si>
    <t>Check that the negative controls have undetermined Ct values</t>
  </si>
  <si>
    <t>Check that the positive controls have low Ct values (typically around 20 ct)</t>
  </si>
  <si>
    <t>Check the standards to ensure that they highest copies have the highest ct values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</si>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</sst>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5" numFmtId="0" xfId="0" applyAlignment="1" applyBorder="1" applyFont="1">
      <alignment readingOrder="0" vertical="bottom"/>
    </xf>
    <xf borderId="6" fillId="0" fontId="6" numFmtId="0" xfId="0" applyBorder="1" applyFont="1"/>
    <xf borderId="7" fillId="0" fontId="7" numFmtId="0" xfId="0" applyAlignment="1" applyBorder="1" applyFont="1">
      <alignment horizontal="center" shrinkToFit="0" textRotation="90" vertical="bottom" wrapText="1"/>
    </xf>
    <xf borderId="8" fillId="0" fontId="8" numFmtId="0" xfId="0" applyBorder="1" applyFont="1"/>
    <xf borderId="9" fillId="0" fontId="8" numFmtId="0" xfId="0" applyBorder="1" applyFont="1"/>
    <xf borderId="6" fillId="0" fontId="6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11" fillId="0" fontId="12" numFmtId="0" xfId="0" applyAlignment="1" applyBorder="1" applyFont="1">
      <alignment horizontal="center" readingOrder="0"/>
    </xf>
    <xf borderId="12" fillId="0" fontId="8" numFmtId="0" xfId="0" applyBorder="1" applyFont="1"/>
    <xf borderId="12" fillId="3" fontId="3" numFmtId="0" xfId="0" applyBorder="1" applyFont="1"/>
    <xf borderId="13" fillId="4" fontId="13" numFmtId="0" xfId="0" applyAlignment="1" applyBorder="1" applyFill="1" applyFont="1">
      <alignment horizontal="center" readingOrder="0"/>
    </xf>
    <xf borderId="14" fillId="0" fontId="8" numFmtId="0" xfId="0" applyBorder="1" applyFont="1"/>
    <xf borderId="15" fillId="0" fontId="8" numFmtId="0" xfId="0" applyBorder="1" applyFont="1"/>
    <xf borderId="4" fillId="0" fontId="3" numFmtId="0" xfId="0" applyAlignment="1" applyBorder="1" applyFont="1">
      <alignment readingOrder="0"/>
    </xf>
    <xf borderId="16" fillId="0" fontId="8" numFmtId="0" xfId="0" applyBorder="1" applyFont="1"/>
    <xf borderId="17" fillId="3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8" numFmtId="0" xfId="0" applyBorder="1" applyFont="1"/>
    <xf borderId="20" fillId="0" fontId="8" numFmtId="0" xfId="0" applyBorder="1" applyFont="1"/>
    <xf borderId="6" fillId="3" fontId="3" numFmtId="0" xfId="0" applyAlignment="1" applyBorder="1" applyFont="1">
      <alignment readingOrder="0"/>
    </xf>
    <xf borderId="21" fillId="0" fontId="14" numFmtId="0" xfId="0" applyAlignment="1" applyBorder="1" applyFont="1">
      <alignment horizontal="center" vertical="bottom"/>
    </xf>
    <xf borderId="6" fillId="0" fontId="14" numFmtId="0" xfId="0" applyAlignment="1" applyBorder="1" applyFont="1">
      <alignment vertical="bottom"/>
    </xf>
    <xf borderId="21" fillId="0" fontId="5" numFmtId="0" xfId="0" applyAlignment="1" applyBorder="1" applyFont="1">
      <alignment vertical="bottom"/>
    </xf>
    <xf borderId="6" fillId="3" fontId="5" numFmtId="0" xfId="0" applyAlignment="1" applyBorder="1" applyFont="1">
      <alignment horizontal="center" readingOrder="0" vertical="bottom"/>
    </xf>
    <xf borderId="6" fillId="3" fontId="3" numFmtId="0" xfId="0" applyBorder="1" applyFont="1"/>
    <xf borderId="6" fillId="3" fontId="5" numFmtId="0" xfId="0" applyAlignment="1" applyBorder="1" applyFont="1">
      <alignment horizontal="center" vertical="bottom"/>
    </xf>
    <xf borderId="22" fillId="0" fontId="3" numFmtId="0" xfId="0" applyAlignment="1" applyBorder="1" applyFont="1">
      <alignment readingOrder="0"/>
    </xf>
    <xf borderId="23" fillId="0" fontId="8" numFmtId="0" xfId="0" applyBorder="1" applyFont="1"/>
    <xf borderId="24" fillId="0" fontId="8" numFmtId="0" xfId="0" applyBorder="1" applyFont="1"/>
    <xf borderId="17" fillId="3" fontId="3" numFmtId="0" xfId="0" applyBorder="1" applyFont="1"/>
    <xf borderId="25" fillId="0" fontId="5" numFmtId="0" xfId="0" applyAlignment="1" applyBorder="1" applyFont="1">
      <alignment readingOrder="0" vertical="bottom"/>
    </xf>
    <xf borderId="17" fillId="3" fontId="5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26" fillId="4" fontId="15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4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6" numFmtId="0" xfId="0" applyAlignment="1" applyBorder="1" applyFont="1">
      <alignment readingOrder="0" shrinkToFit="0" vertical="bottom" wrapText="1"/>
    </xf>
    <xf borderId="27" fillId="0" fontId="3" numFmtId="0" xfId="0" applyBorder="1" applyFont="1"/>
    <xf borderId="28" fillId="0" fontId="8" numFmtId="0" xfId="0" applyBorder="1" applyFont="1"/>
    <xf borderId="29" fillId="0" fontId="8" numFmtId="0" xfId="0" applyBorder="1" applyFont="1"/>
    <xf borderId="5" fillId="0" fontId="5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0" fillId="0" fontId="8" numFmtId="0" xfId="0" applyBorder="1" applyFont="1"/>
    <xf borderId="0" fillId="0" fontId="17" numFmtId="0" xfId="0" applyAlignment="1" applyFont="1">
      <alignment horizontal="center" shrinkToFit="0" vertical="bottom" wrapText="1"/>
    </xf>
    <xf borderId="0" fillId="0" fontId="18" numFmtId="0" xfId="0" applyAlignment="1" applyFont="1">
      <alignment readingOrder="0"/>
    </xf>
    <xf borderId="13" fillId="4" fontId="15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6" fillId="0" fontId="20" numFmtId="0" xfId="0" applyBorder="1" applyFont="1"/>
    <xf borderId="0" fillId="3" fontId="3" numFmtId="0" xfId="0" applyFont="1"/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4" fillId="0" fontId="5" numFmtId="0" xfId="0" applyAlignment="1" applyBorder="1" applyFont="1">
      <alignment readingOrder="0" vertical="bottom"/>
    </xf>
    <xf borderId="30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21" fillId="0" fontId="21" numFmtId="0" xfId="0" applyAlignment="1" applyBorder="1" applyFont="1">
      <alignment horizontal="center" readingOrder="0" shrinkToFit="0" vertical="bottom" wrapText="1"/>
    </xf>
    <xf borderId="5" fillId="0" fontId="21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horizontal="center" readingOrder="0" shrinkToFit="0" vertical="bottom" wrapText="1"/>
    </xf>
    <xf borderId="21" fillId="0" fontId="22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1" fillId="0" fontId="21" numFmtId="0" xfId="0" applyAlignment="1" applyBorder="1" applyFont="1">
      <alignment horizontal="center" shrinkToFit="0" vertical="bottom" wrapText="1"/>
    </xf>
    <xf borderId="5" fillId="0" fontId="21" numFmtId="0" xfId="0" applyAlignment="1" applyBorder="1" applyFont="1">
      <alignment horizontal="center" readingOrder="0" shrinkToFit="0" vertical="bottom" wrapText="1"/>
    </xf>
    <xf borderId="10" fillId="0" fontId="5" numFmtId="0" xfId="0" applyAlignment="1" applyBorder="1" applyFont="1">
      <alignment readingOrder="0" vertical="bottom"/>
    </xf>
    <xf borderId="31" fillId="0" fontId="5" numFmtId="0" xfId="0" applyAlignment="1" applyBorder="1" applyFont="1">
      <alignment readingOrder="0" vertical="bottom"/>
    </xf>
    <xf borderId="32" fillId="0" fontId="5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1" fillId="0" fontId="3" numFmtId="0" xfId="0" applyBorder="1" applyFont="1"/>
    <xf borderId="32" fillId="0" fontId="3" numFmtId="0" xfId="0" applyBorder="1" applyFont="1"/>
    <xf borderId="5" fillId="0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7" fillId="3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23" numFmtId="0" xfId="0" applyAlignment="1" applyFont="1">
      <alignment readingOrder="0"/>
    </xf>
    <xf borderId="26" fillId="8" fontId="13" numFmtId="0" xfId="0" applyAlignment="1" applyBorder="1" applyFill="1" applyFont="1">
      <alignment horizontal="center" readingOrder="0"/>
    </xf>
    <xf borderId="0" fillId="0" fontId="13" numFmtId="0" xfId="0" applyAlignment="1" applyFont="1">
      <alignment horizontal="center" readingOrder="0"/>
    </xf>
    <xf borderId="13" fillId="8" fontId="13" numFmtId="0" xfId="0" applyAlignment="1" applyBorder="1" applyFont="1">
      <alignment horizontal="center" readingOrder="0"/>
    </xf>
    <xf borderId="18" fillId="0" fontId="5" numFmtId="0" xfId="0" applyAlignment="1" applyBorder="1" applyFont="1">
      <alignment readingOrder="0" vertical="bottom"/>
    </xf>
    <xf borderId="6" fillId="3" fontId="5" numFmtId="0" xfId="0" applyAlignment="1" applyBorder="1" applyFont="1">
      <alignment horizontal="center" readingOrder="0"/>
    </xf>
    <xf borderId="21" fillId="0" fontId="5" numFmtId="0" xfId="0" applyAlignment="1" applyBorder="1" applyFont="1">
      <alignment readingOrder="0" vertical="bottom"/>
    </xf>
    <xf borderId="6" fillId="3" fontId="5" numFmtId="49" xfId="0" applyAlignment="1" applyBorder="1" applyFont="1" applyNumberFormat="1">
      <alignment horizontal="center" vertical="bottom"/>
    </xf>
    <xf borderId="18" fillId="0" fontId="5" numFmtId="0" xfId="0" applyAlignment="1" applyBorder="1" applyFont="1">
      <alignment vertical="bottom"/>
    </xf>
    <xf borderId="6" fillId="3" fontId="5" numFmtId="49" xfId="0" applyAlignment="1" applyBorder="1" applyFont="1" applyNumberFormat="1">
      <alignment horizontal="center" readingOrder="0" vertical="bottom"/>
    </xf>
    <xf borderId="17" fillId="3" fontId="5" numFmtId="49" xfId="0" applyAlignment="1" applyBorder="1" applyFont="1" applyNumberFormat="1">
      <alignment horizontal="center" vertical="bottom"/>
    </xf>
    <xf borderId="17" fillId="3" fontId="5" numFmtId="49" xfId="0" applyAlignment="1" applyBorder="1" applyFont="1" applyNumberFormat="1">
      <alignment horizontal="center" readingOrder="0" vertical="bottom"/>
    </xf>
    <xf borderId="17" fillId="3" fontId="5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6" fillId="8" fontId="15" numFmtId="0" xfId="0" applyAlignment="1" applyBorder="1" applyFont="1">
      <alignment horizontal="center" readingOrder="0" vertical="bottom"/>
    </xf>
    <xf borderId="13" fillId="8" fontId="15" numFmtId="0" xfId="0" applyAlignment="1" applyBorder="1" applyFont="1">
      <alignment horizontal="center" readingOrder="0"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4" xfId="0" applyAlignment="1" applyBorder="1" applyFont="1" applyNumberForma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0" fillId="0" fontId="21" numFmtId="0" xfId="0" applyAlignment="1" applyFont="1">
      <alignment horizontal="center" readingOrder="0" shrinkToFit="0" vertical="bottom" wrapText="1"/>
    </xf>
    <xf borderId="0" fillId="0" fontId="21" numFmtId="0" xfId="0" applyAlignment="1" applyFont="1">
      <alignment horizontal="center"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0" fontId="22" numFmtId="0" xfId="0" applyAlignment="1" applyFont="1">
      <alignment horizontal="center" readingOrder="0" shrinkToFit="0" vertical="bottom" wrapText="1"/>
    </xf>
    <xf borderId="0" fillId="0" fontId="20" numFmtId="0" xfId="0" applyFont="1"/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/>
      <c r="B4" s="2"/>
      <c r="C4" s="1" t="s">
        <v>7</v>
      </c>
    </row>
    <row r="5">
      <c r="A5" s="1">
        <v>3.0</v>
      </c>
      <c r="B5" s="2" t="s">
        <v>8</v>
      </c>
      <c r="C5" s="1" t="s">
        <v>9</v>
      </c>
    </row>
    <row r="6">
      <c r="A6" s="1">
        <v>4.0</v>
      </c>
      <c r="B6" s="2" t="s">
        <v>10</v>
      </c>
      <c r="C6" s="1" t="s">
        <v>11</v>
      </c>
    </row>
    <row r="7">
      <c r="A7" s="3"/>
      <c r="B7" s="3"/>
      <c r="C7" s="3"/>
    </row>
    <row r="8">
      <c r="B8" s="1" t="s">
        <v>12</v>
      </c>
      <c r="C8" s="4" t="s">
        <v>13</v>
      </c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  <row r="1002">
      <c r="A1002" s="5"/>
      <c r="B1002" s="5"/>
      <c r="C100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14</v>
      </c>
      <c r="B2" s="10" t="s">
        <v>15</v>
      </c>
      <c r="C2" s="10" t="s">
        <v>16</v>
      </c>
      <c r="D2" s="10" t="s">
        <v>17</v>
      </c>
      <c r="E2" s="11" t="s">
        <v>18</v>
      </c>
      <c r="F2" s="11" t="s">
        <v>19</v>
      </c>
      <c r="G2" s="11" t="s">
        <v>20</v>
      </c>
      <c r="H2" s="11" t="s">
        <v>21</v>
      </c>
      <c r="I2" s="10" t="s">
        <v>22</v>
      </c>
      <c r="J2" s="10" t="s">
        <v>23</v>
      </c>
      <c r="K2" s="10" t="s">
        <v>24</v>
      </c>
      <c r="L2" s="10" t="s">
        <v>25</v>
      </c>
      <c r="M2" s="12" t="s">
        <v>26</v>
      </c>
      <c r="N2" s="13" t="s">
        <v>27</v>
      </c>
    </row>
    <row r="3">
      <c r="A3" s="9" t="s">
        <v>28</v>
      </c>
      <c r="B3" s="10" t="s">
        <v>29</v>
      </c>
      <c r="C3" s="10" t="s">
        <v>30</v>
      </c>
      <c r="D3" s="10" t="s">
        <v>31</v>
      </c>
      <c r="E3" s="11" t="s">
        <v>32</v>
      </c>
      <c r="F3" s="11" t="s">
        <v>33</v>
      </c>
      <c r="G3" s="11" t="s">
        <v>34</v>
      </c>
      <c r="H3" s="11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12" t="s">
        <v>40</v>
      </c>
      <c r="N3" s="14"/>
    </row>
    <row r="4">
      <c r="A4" s="9" t="s">
        <v>41</v>
      </c>
      <c r="B4" s="10" t="s">
        <v>42</v>
      </c>
      <c r="C4" s="10" t="s">
        <v>43</v>
      </c>
      <c r="D4" s="10" t="s">
        <v>44</v>
      </c>
      <c r="E4" s="11" t="s">
        <v>45</v>
      </c>
      <c r="F4" s="11" t="s">
        <v>46</v>
      </c>
      <c r="G4" s="11" t="s">
        <v>47</v>
      </c>
      <c r="H4" s="11" t="s">
        <v>48</v>
      </c>
      <c r="I4" s="10" t="s">
        <v>49</v>
      </c>
      <c r="J4" s="10" t="s">
        <v>50</v>
      </c>
      <c r="K4" s="10" t="s">
        <v>51</v>
      </c>
      <c r="L4" s="10" t="s">
        <v>52</v>
      </c>
      <c r="M4" s="12" t="s">
        <v>53</v>
      </c>
      <c r="N4" s="14"/>
    </row>
    <row r="5">
      <c r="A5" s="9" t="s">
        <v>54</v>
      </c>
      <c r="B5" s="10" t="s">
        <v>55</v>
      </c>
      <c r="C5" s="10" t="s">
        <v>56</v>
      </c>
      <c r="D5" s="10" t="s">
        <v>57</v>
      </c>
      <c r="E5" s="11" t="s">
        <v>58</v>
      </c>
      <c r="F5" s="11" t="s">
        <v>59</v>
      </c>
      <c r="G5" s="11" t="s">
        <v>60</v>
      </c>
      <c r="H5" s="11" t="s">
        <v>61</v>
      </c>
      <c r="I5" s="10" t="s">
        <v>62</v>
      </c>
      <c r="J5" s="10" t="s">
        <v>63</v>
      </c>
      <c r="K5" s="10" t="s">
        <v>64</v>
      </c>
      <c r="L5" s="10" t="s">
        <v>65</v>
      </c>
      <c r="M5" s="12" t="s">
        <v>66</v>
      </c>
      <c r="N5" s="14"/>
    </row>
    <row r="6">
      <c r="A6" s="9" t="s">
        <v>67</v>
      </c>
      <c r="B6" s="10" t="s">
        <v>68</v>
      </c>
      <c r="C6" s="10" t="s">
        <v>69</v>
      </c>
      <c r="D6" s="10" t="s">
        <v>70</v>
      </c>
      <c r="E6" s="11" t="s">
        <v>71</v>
      </c>
      <c r="F6" s="11" t="s">
        <v>72</v>
      </c>
      <c r="G6" s="11" t="s">
        <v>73</v>
      </c>
      <c r="H6" s="11" t="s">
        <v>74</v>
      </c>
      <c r="I6" s="10" t="s">
        <v>75</v>
      </c>
      <c r="J6" s="10" t="s">
        <v>76</v>
      </c>
      <c r="K6" s="10" t="s">
        <v>77</v>
      </c>
      <c r="L6" s="10" t="s">
        <v>78</v>
      </c>
      <c r="M6" s="12" t="s">
        <v>79</v>
      </c>
      <c r="N6" s="14"/>
    </row>
    <row r="7">
      <c r="A7" s="9" t="s">
        <v>80</v>
      </c>
      <c r="B7" s="10" t="s">
        <v>81</v>
      </c>
      <c r="C7" s="10" t="s">
        <v>82</v>
      </c>
      <c r="D7" s="10" t="s">
        <v>83</v>
      </c>
      <c r="E7" s="11" t="s">
        <v>84</v>
      </c>
      <c r="F7" s="11" t="s">
        <v>85</v>
      </c>
      <c r="G7" s="11" t="s">
        <v>86</v>
      </c>
      <c r="H7" s="11" t="s">
        <v>87</v>
      </c>
      <c r="I7" s="10" t="s">
        <v>88</v>
      </c>
      <c r="J7" s="10" t="s">
        <v>89</v>
      </c>
      <c r="K7" s="10" t="s">
        <v>90</v>
      </c>
      <c r="L7" s="10" t="s">
        <v>91</v>
      </c>
      <c r="M7" s="12" t="s">
        <v>92</v>
      </c>
      <c r="N7" s="15"/>
    </row>
    <row r="8">
      <c r="A8" s="9" t="s">
        <v>93</v>
      </c>
      <c r="B8" s="10" t="s">
        <v>94</v>
      </c>
      <c r="C8" s="10" t="s">
        <v>95</v>
      </c>
      <c r="D8" s="10" t="s">
        <v>96</v>
      </c>
      <c r="E8" s="11" t="s">
        <v>97</v>
      </c>
      <c r="F8" s="11" t="s">
        <v>98</v>
      </c>
      <c r="G8" s="11" t="s">
        <v>99</v>
      </c>
      <c r="H8" s="11" t="s">
        <v>100</v>
      </c>
      <c r="I8" s="10" t="s">
        <v>101</v>
      </c>
      <c r="J8" s="10" t="s">
        <v>102</v>
      </c>
      <c r="K8" s="10" t="s">
        <v>103</v>
      </c>
      <c r="L8" s="10" t="s">
        <v>104</v>
      </c>
      <c r="M8" s="16" t="s">
        <v>105</v>
      </c>
    </row>
    <row r="9">
      <c r="A9" s="17" t="s">
        <v>106</v>
      </c>
      <c r="B9" s="10" t="s">
        <v>107</v>
      </c>
      <c r="C9" s="10" t="s">
        <v>108</v>
      </c>
      <c r="D9" s="10" t="s">
        <v>109</v>
      </c>
      <c r="E9" s="11" t="s">
        <v>110</v>
      </c>
      <c r="F9" s="11" t="s">
        <v>111</v>
      </c>
      <c r="G9" s="11" t="s">
        <v>112</v>
      </c>
      <c r="H9" s="11" t="s">
        <v>113</v>
      </c>
      <c r="I9" s="10" t="s">
        <v>114</v>
      </c>
      <c r="J9" s="10" t="s">
        <v>115</v>
      </c>
      <c r="K9" s="10" t="s">
        <v>116</v>
      </c>
      <c r="L9" s="10" t="s">
        <v>117</v>
      </c>
      <c r="M9" s="10" t="s">
        <v>118</v>
      </c>
    </row>
    <row r="11">
      <c r="F11" s="18" t="s">
        <v>119</v>
      </c>
      <c r="G11" s="19"/>
      <c r="H11" s="20" t="s">
        <v>120</v>
      </c>
    </row>
    <row r="12">
      <c r="A12" s="21" t="s">
        <v>121</v>
      </c>
      <c r="B12" s="22"/>
      <c r="C12" s="23"/>
      <c r="F12" s="24" t="s">
        <v>122</v>
      </c>
      <c r="G12" s="25"/>
      <c r="H12" s="25"/>
      <c r="I12" s="25"/>
      <c r="J12" s="26"/>
    </row>
    <row r="13">
      <c r="F13" s="27" t="s">
        <v>123</v>
      </c>
      <c r="I13" s="28"/>
      <c r="J13" s="29" t="b">
        <v>1</v>
      </c>
    </row>
    <row r="14">
      <c r="A14" s="24" t="s">
        <v>124</v>
      </c>
      <c r="B14" s="26"/>
      <c r="F14" s="30" t="s">
        <v>125</v>
      </c>
      <c r="G14" s="31"/>
      <c r="H14" s="31"/>
      <c r="I14" s="32"/>
      <c r="J14" s="33" t="b">
        <v>1</v>
      </c>
    </row>
    <row r="15">
      <c r="A15" s="34" t="s">
        <v>126</v>
      </c>
      <c r="B15" s="35" t="s">
        <v>127</v>
      </c>
      <c r="F15" s="30" t="s">
        <v>128</v>
      </c>
      <c r="G15" s="31"/>
      <c r="H15" s="31"/>
      <c r="I15" s="32"/>
      <c r="J15" s="33" t="b">
        <v>1</v>
      </c>
    </row>
    <row r="16">
      <c r="A16" s="36"/>
      <c r="B16" s="37"/>
      <c r="F16" s="30" t="s">
        <v>129</v>
      </c>
      <c r="G16" s="31"/>
      <c r="H16" s="31"/>
      <c r="I16" s="32"/>
      <c r="J16" s="38" t="b">
        <v>0</v>
      </c>
    </row>
    <row r="17">
      <c r="A17" s="36" t="s">
        <v>130</v>
      </c>
      <c r="B17" s="37" t="s">
        <v>131</v>
      </c>
      <c r="F17" s="30" t="s">
        <v>132</v>
      </c>
      <c r="G17" s="31"/>
      <c r="H17" s="31"/>
      <c r="I17" s="32"/>
      <c r="J17" s="38" t="b">
        <v>0</v>
      </c>
    </row>
    <row r="18">
      <c r="A18" s="36" t="s">
        <v>133</v>
      </c>
      <c r="B18" s="39"/>
      <c r="F18" s="30" t="s">
        <v>134</v>
      </c>
      <c r="G18" s="31"/>
      <c r="H18" s="31"/>
      <c r="I18" s="32"/>
      <c r="J18" s="38" t="b">
        <v>0</v>
      </c>
    </row>
    <row r="19">
      <c r="A19" s="36" t="s">
        <v>135</v>
      </c>
      <c r="B19" s="39"/>
      <c r="F19" s="30" t="s">
        <v>136</v>
      </c>
      <c r="G19" s="31"/>
      <c r="H19" s="31"/>
      <c r="I19" s="32"/>
      <c r="J19" s="38" t="b">
        <v>0</v>
      </c>
    </row>
    <row r="20">
      <c r="A20" s="36" t="s">
        <v>137</v>
      </c>
      <c r="B20" s="39"/>
      <c r="F20" s="30" t="s">
        <v>138</v>
      </c>
      <c r="G20" s="31"/>
      <c r="H20" s="31"/>
      <c r="I20" s="32"/>
      <c r="J20" s="38" t="b">
        <v>0</v>
      </c>
    </row>
    <row r="21">
      <c r="A21" s="36" t="s">
        <v>139</v>
      </c>
      <c r="B21" s="39"/>
      <c r="F21" s="30" t="s">
        <v>140</v>
      </c>
      <c r="G21" s="31"/>
      <c r="H21" s="31"/>
      <c r="I21" s="32"/>
      <c r="J21" s="38" t="b">
        <v>0</v>
      </c>
    </row>
    <row r="22">
      <c r="A22" s="36" t="s">
        <v>141</v>
      </c>
      <c r="B22" s="39"/>
      <c r="F22" s="30" t="s">
        <v>142</v>
      </c>
      <c r="G22" s="31"/>
      <c r="H22" s="31"/>
      <c r="I22" s="32"/>
      <c r="J22" s="38" t="b">
        <v>0</v>
      </c>
    </row>
    <row r="23">
      <c r="A23" s="36" t="s">
        <v>143</v>
      </c>
      <c r="B23" s="39"/>
      <c r="F23" s="30" t="s">
        <v>144</v>
      </c>
      <c r="G23" s="31"/>
      <c r="H23" s="31"/>
      <c r="I23" s="32"/>
      <c r="J23" s="38" t="b">
        <v>0</v>
      </c>
    </row>
    <row r="24">
      <c r="A24" s="36" t="s">
        <v>145</v>
      </c>
      <c r="B24" s="39"/>
      <c r="F24" s="40" t="s">
        <v>146</v>
      </c>
      <c r="G24" s="41"/>
      <c r="H24" s="41"/>
      <c r="I24" s="42"/>
      <c r="J24" s="43" t="b">
        <v>0</v>
      </c>
    </row>
    <row r="25">
      <c r="A25" s="44" t="s">
        <v>147</v>
      </c>
      <c r="B25" s="45"/>
    </row>
    <row r="26">
      <c r="A26" s="46"/>
      <c r="B26" s="47"/>
      <c r="C26" s="46"/>
    </row>
    <row r="28" ht="50.25" customHeight="1">
      <c r="A28" s="48" t="s">
        <v>148</v>
      </c>
      <c r="B28" s="31"/>
      <c r="C28" s="32"/>
      <c r="F28" s="49" t="s">
        <v>149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150</v>
      </c>
      <c r="B29" s="53">
        <f>COUNTA($B$2:$L$9,$M$9)</f>
        <v>89</v>
      </c>
      <c r="C29" s="54" t="s">
        <v>151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152</v>
      </c>
      <c r="B30" s="58">
        <v>1.2</v>
      </c>
      <c r="C30" s="54" t="s">
        <v>153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154</v>
      </c>
      <c r="B32" s="25"/>
      <c r="C32" s="26"/>
      <c r="F32" s="59"/>
      <c r="M32" s="60"/>
    </row>
    <row r="33">
      <c r="A33" s="64" t="s">
        <v>155</v>
      </c>
      <c r="B33" s="65" t="s">
        <v>156</v>
      </c>
      <c r="C33" s="66" t="s">
        <v>157</v>
      </c>
      <c r="D33" s="67" t="s">
        <v>158</v>
      </c>
      <c r="F33" s="59"/>
      <c r="M33" s="60"/>
    </row>
    <row r="34">
      <c r="A34" s="68" t="s">
        <v>159</v>
      </c>
      <c r="B34" s="69">
        <v>60.0</v>
      </c>
      <c r="C34" s="70">
        <f t="shared" ref="C34:C37" si="1">B34*$B$29*$B$30</f>
        <v>6408</v>
      </c>
      <c r="D34" s="71" t="b">
        <v>0</v>
      </c>
      <c r="F34" s="59"/>
      <c r="M34" s="60"/>
    </row>
    <row r="35">
      <c r="A35" s="68" t="s">
        <v>139</v>
      </c>
      <c r="B35" s="69">
        <v>1.0</v>
      </c>
      <c r="C35" s="70">
        <f t="shared" si="1"/>
        <v>106.8</v>
      </c>
      <c r="D35" s="71" t="b">
        <v>0</v>
      </c>
      <c r="F35" s="59"/>
      <c r="M35" s="60"/>
    </row>
    <row r="36">
      <c r="A36" s="68" t="s">
        <v>160</v>
      </c>
      <c r="B36" s="69">
        <v>70.0</v>
      </c>
      <c r="C36" s="70">
        <f t="shared" si="1"/>
        <v>7476</v>
      </c>
      <c r="D36" s="71" t="b">
        <v>0</v>
      </c>
      <c r="F36" s="59"/>
      <c r="M36" s="60"/>
    </row>
    <row r="37">
      <c r="A37" s="72" t="s">
        <v>161</v>
      </c>
      <c r="B37" s="73">
        <f>sum(B34:B36)</f>
        <v>131</v>
      </c>
      <c r="C37" s="70">
        <f t="shared" si="1"/>
        <v>13990.8</v>
      </c>
      <c r="F37" s="59"/>
      <c r="M37" s="60"/>
    </row>
    <row r="38">
      <c r="A38" s="74" t="s">
        <v>162</v>
      </c>
      <c r="B38" s="47">
        <v>8.0</v>
      </c>
      <c r="C38" s="75">
        <f>C37/B38</f>
        <v>1748.85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163</v>
      </c>
      <c r="B40" s="78" t="s">
        <v>156</v>
      </c>
      <c r="C40" s="79" t="s">
        <v>157</v>
      </c>
      <c r="F40" s="59"/>
      <c r="M40" s="60"/>
    </row>
    <row r="41">
      <c r="A41" s="80" t="s">
        <v>164</v>
      </c>
      <c r="B41" s="81">
        <v>5.0</v>
      </c>
      <c r="C41" s="70">
        <f t="shared" ref="C41:C43" si="2">B41*$B$29*$B$30</f>
        <v>534</v>
      </c>
      <c r="D41" s="82" t="b">
        <v>0</v>
      </c>
      <c r="F41" s="59"/>
      <c r="M41" s="60"/>
    </row>
    <row r="42">
      <c r="A42" s="80" t="s">
        <v>165</v>
      </c>
      <c r="B42" s="81">
        <v>5.0</v>
      </c>
      <c r="C42" s="70">
        <f t="shared" si="2"/>
        <v>534</v>
      </c>
      <c r="D42" s="71" t="b">
        <v>0</v>
      </c>
      <c r="F42" s="59"/>
      <c r="M42" s="60"/>
    </row>
    <row r="43">
      <c r="A43" s="83" t="s">
        <v>161</v>
      </c>
      <c r="B43" s="84">
        <f>sum(B41:B42)</f>
        <v>10</v>
      </c>
      <c r="C43" s="70">
        <f t="shared" si="2"/>
        <v>1068</v>
      </c>
      <c r="D43" s="71" t="b">
        <v>0</v>
      </c>
      <c r="F43" s="59"/>
      <c r="M43" s="60"/>
    </row>
    <row r="44">
      <c r="A44" s="85" t="s">
        <v>162</v>
      </c>
      <c r="B44" s="86">
        <v>8.0</v>
      </c>
      <c r="C44" s="87">
        <f>C43/B44</f>
        <v>133.5</v>
      </c>
      <c r="F44" s="59"/>
      <c r="M44" s="60"/>
    </row>
    <row r="45">
      <c r="F45" s="88" t="s">
        <v>166</v>
      </c>
      <c r="G45" s="89"/>
      <c r="H45" s="89"/>
      <c r="I45" s="89"/>
      <c r="J45" s="89"/>
      <c r="K45" s="89"/>
      <c r="L45" s="89"/>
      <c r="M45" s="90"/>
    </row>
    <row r="46">
      <c r="A46" s="91" t="s">
        <v>167</v>
      </c>
      <c r="B46" s="91" t="s">
        <v>168</v>
      </c>
      <c r="C46" s="91" t="s">
        <v>169</v>
      </c>
    </row>
    <row r="47">
      <c r="A47" s="92" t="s">
        <v>170</v>
      </c>
      <c r="B47" s="93">
        <v>200.0</v>
      </c>
      <c r="C47" s="94">
        <f>2*B47*$B$29*$B$30</f>
        <v>42720</v>
      </c>
      <c r="D47" s="71" t="b">
        <v>0</v>
      </c>
    </row>
    <row r="48">
      <c r="A48" s="92" t="s">
        <v>145</v>
      </c>
      <c r="B48" s="93">
        <v>200.0</v>
      </c>
      <c r="C48" s="94">
        <f t="shared" ref="C48:C49" si="3">B48*$B$29*$B$30</f>
        <v>21360</v>
      </c>
      <c r="D48" s="71" t="b">
        <v>0</v>
      </c>
    </row>
    <row r="49">
      <c r="A49" s="95" t="s">
        <v>171</v>
      </c>
      <c r="B49" s="94">
        <v>50.0</v>
      </c>
      <c r="C49" s="94">
        <f t="shared" si="3"/>
        <v>5340</v>
      </c>
      <c r="D49" s="71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14</v>
      </c>
      <c r="B2" s="10" t="s">
        <v>15</v>
      </c>
      <c r="C2" s="10" t="s">
        <v>16</v>
      </c>
      <c r="D2" s="10" t="s">
        <v>17</v>
      </c>
      <c r="E2" s="11" t="s">
        <v>18</v>
      </c>
      <c r="F2" s="11" t="s">
        <v>19</v>
      </c>
      <c r="G2" s="11" t="s">
        <v>20</v>
      </c>
      <c r="H2" s="11" t="s">
        <v>21</v>
      </c>
      <c r="I2" s="10" t="s">
        <v>22</v>
      </c>
      <c r="J2" s="10" t="s">
        <v>23</v>
      </c>
      <c r="K2" s="10" t="s">
        <v>24</v>
      </c>
      <c r="L2" s="10" t="s">
        <v>25</v>
      </c>
      <c r="M2" s="96" t="s">
        <v>26</v>
      </c>
    </row>
    <row r="3">
      <c r="A3" s="9" t="s">
        <v>28</v>
      </c>
      <c r="B3" s="10" t="s">
        <v>29</v>
      </c>
      <c r="C3" s="10" t="s">
        <v>30</v>
      </c>
      <c r="D3" s="10" t="s">
        <v>31</v>
      </c>
      <c r="E3" s="11" t="s">
        <v>32</v>
      </c>
      <c r="F3" s="11" t="s">
        <v>33</v>
      </c>
      <c r="G3" s="11" t="s">
        <v>34</v>
      </c>
      <c r="H3" s="11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97" t="s">
        <v>40</v>
      </c>
    </row>
    <row r="4">
      <c r="A4" s="9" t="s">
        <v>41</v>
      </c>
      <c r="B4" s="10" t="s">
        <v>42</v>
      </c>
      <c r="C4" s="10" t="s">
        <v>43</v>
      </c>
      <c r="D4" s="10" t="s">
        <v>44</v>
      </c>
      <c r="E4" s="11" t="s">
        <v>45</v>
      </c>
      <c r="F4" s="11" t="s">
        <v>46</v>
      </c>
      <c r="G4" s="11" t="s">
        <v>47</v>
      </c>
      <c r="H4" s="11" t="s">
        <v>48</v>
      </c>
      <c r="I4" s="10" t="s">
        <v>49</v>
      </c>
      <c r="J4" s="10" t="s">
        <v>50</v>
      </c>
      <c r="K4" s="10" t="s">
        <v>51</v>
      </c>
      <c r="L4" s="10" t="s">
        <v>52</v>
      </c>
      <c r="M4" s="98" t="s">
        <v>53</v>
      </c>
    </row>
    <row r="5">
      <c r="A5" s="9" t="s">
        <v>54</v>
      </c>
      <c r="B5" s="10" t="s">
        <v>55</v>
      </c>
      <c r="C5" s="10" t="s">
        <v>56</v>
      </c>
      <c r="D5" s="10" t="s">
        <v>57</v>
      </c>
      <c r="E5" s="11" t="s">
        <v>58</v>
      </c>
      <c r="F5" s="11" t="s">
        <v>59</v>
      </c>
      <c r="G5" s="11" t="s">
        <v>60</v>
      </c>
      <c r="H5" s="11" t="s">
        <v>61</v>
      </c>
      <c r="I5" s="10" t="s">
        <v>62</v>
      </c>
      <c r="J5" s="10" t="s">
        <v>63</v>
      </c>
      <c r="K5" s="10" t="s">
        <v>64</v>
      </c>
      <c r="L5" s="10" t="s">
        <v>65</v>
      </c>
      <c r="M5" s="96" t="s">
        <v>66</v>
      </c>
    </row>
    <row r="6">
      <c r="A6" s="9" t="s">
        <v>67</v>
      </c>
      <c r="B6" s="10" t="s">
        <v>68</v>
      </c>
      <c r="C6" s="10" t="s">
        <v>69</v>
      </c>
      <c r="D6" s="10" t="s">
        <v>70</v>
      </c>
      <c r="E6" s="11" t="s">
        <v>71</v>
      </c>
      <c r="F6" s="11" t="s">
        <v>72</v>
      </c>
      <c r="G6" s="11" t="s">
        <v>73</v>
      </c>
      <c r="H6" s="11" t="s">
        <v>74</v>
      </c>
      <c r="I6" s="10" t="s">
        <v>75</v>
      </c>
      <c r="J6" s="10" t="s">
        <v>76</v>
      </c>
      <c r="K6" s="10" t="s">
        <v>77</v>
      </c>
      <c r="L6" s="10" t="s">
        <v>78</v>
      </c>
      <c r="M6" s="97" t="s">
        <v>79</v>
      </c>
    </row>
    <row r="7">
      <c r="A7" s="9" t="s">
        <v>80</v>
      </c>
      <c r="B7" s="10" t="s">
        <v>81</v>
      </c>
      <c r="C7" s="10" t="s">
        <v>82</v>
      </c>
      <c r="D7" s="10" t="s">
        <v>83</v>
      </c>
      <c r="E7" s="11" t="s">
        <v>84</v>
      </c>
      <c r="F7" s="11" t="s">
        <v>85</v>
      </c>
      <c r="G7" s="11" t="s">
        <v>86</v>
      </c>
      <c r="H7" s="11" t="s">
        <v>87</v>
      </c>
      <c r="I7" s="10" t="s">
        <v>88</v>
      </c>
      <c r="J7" s="10" t="s">
        <v>89</v>
      </c>
      <c r="K7" s="10" t="s">
        <v>90</v>
      </c>
      <c r="L7" s="10" t="s">
        <v>91</v>
      </c>
      <c r="M7" s="98" t="s">
        <v>92</v>
      </c>
    </row>
    <row r="8">
      <c r="A8" s="9" t="s">
        <v>93</v>
      </c>
      <c r="B8" s="10" t="s">
        <v>94</v>
      </c>
      <c r="C8" s="10" t="s">
        <v>95</v>
      </c>
      <c r="D8" s="10" t="s">
        <v>96</v>
      </c>
      <c r="E8" s="11" t="s">
        <v>97</v>
      </c>
      <c r="F8" s="11" t="s">
        <v>98</v>
      </c>
      <c r="G8" s="11" t="s">
        <v>99</v>
      </c>
      <c r="H8" s="11" t="s">
        <v>100</v>
      </c>
      <c r="I8" s="10" t="s">
        <v>101</v>
      </c>
      <c r="J8" s="10" t="s">
        <v>102</v>
      </c>
      <c r="K8" s="10" t="s">
        <v>103</v>
      </c>
      <c r="L8" s="10" t="s">
        <v>104</v>
      </c>
      <c r="M8" s="99" t="s">
        <v>105</v>
      </c>
    </row>
    <row r="9">
      <c r="A9" s="17" t="s">
        <v>106</v>
      </c>
      <c r="B9" s="10" t="s">
        <v>107</v>
      </c>
      <c r="C9" s="10" t="s">
        <v>108</v>
      </c>
      <c r="D9" s="10" t="s">
        <v>109</v>
      </c>
      <c r="E9" s="11" t="s">
        <v>110</v>
      </c>
      <c r="F9" s="11" t="s">
        <v>111</v>
      </c>
      <c r="G9" s="11" t="s">
        <v>112</v>
      </c>
      <c r="H9" s="11" t="s">
        <v>113</v>
      </c>
      <c r="I9" s="10" t="s">
        <v>114</v>
      </c>
      <c r="J9" s="10" t="s">
        <v>115</v>
      </c>
      <c r="K9" s="10" t="s">
        <v>116</v>
      </c>
      <c r="L9" s="10" t="s">
        <v>117</v>
      </c>
      <c r="M9" s="10" t="s">
        <v>172</v>
      </c>
    </row>
    <row r="11">
      <c r="A11" s="21" t="s">
        <v>121</v>
      </c>
      <c r="B11" s="22"/>
      <c r="C11" s="100"/>
    </row>
    <row r="13">
      <c r="E13" s="101" t="s">
        <v>119</v>
      </c>
      <c r="G13" s="102" t="s">
        <v>173</v>
      </c>
    </row>
    <row r="14">
      <c r="A14" s="103" t="s">
        <v>124</v>
      </c>
      <c r="B14" s="32"/>
      <c r="C14" s="104"/>
      <c r="E14" s="105" t="s">
        <v>122</v>
      </c>
      <c r="F14" s="25"/>
      <c r="G14" s="25"/>
      <c r="H14" s="25"/>
      <c r="I14" s="26"/>
    </row>
    <row r="15">
      <c r="A15" s="34" t="s">
        <v>126</v>
      </c>
      <c r="B15" s="35" t="s">
        <v>127</v>
      </c>
      <c r="E15" s="106" t="s">
        <v>174</v>
      </c>
      <c r="F15" s="31"/>
      <c r="G15" s="31"/>
      <c r="H15" s="32"/>
      <c r="I15" s="107" t="b">
        <v>0</v>
      </c>
    </row>
    <row r="16">
      <c r="A16" s="108" t="s">
        <v>175</v>
      </c>
      <c r="B16" s="109"/>
      <c r="E16" s="110" t="s">
        <v>176</v>
      </c>
      <c r="F16" s="31"/>
      <c r="G16" s="31"/>
      <c r="H16" s="32"/>
      <c r="I16" s="107" t="b">
        <v>0</v>
      </c>
    </row>
    <row r="17">
      <c r="A17" s="108" t="s">
        <v>177</v>
      </c>
      <c r="B17" s="111" t="s">
        <v>131</v>
      </c>
      <c r="E17" s="110" t="s">
        <v>178</v>
      </c>
      <c r="F17" s="31"/>
      <c r="G17" s="31"/>
      <c r="H17" s="32"/>
      <c r="I17" s="107" t="b">
        <v>0</v>
      </c>
    </row>
    <row r="18">
      <c r="A18" s="44" t="s">
        <v>179</v>
      </c>
      <c r="B18" s="112"/>
      <c r="E18" s="110" t="s">
        <v>180</v>
      </c>
      <c r="F18" s="31"/>
      <c r="G18" s="31"/>
      <c r="H18" s="32"/>
      <c r="I18" s="107" t="b">
        <v>0</v>
      </c>
    </row>
    <row r="19">
      <c r="A19" s="44" t="s">
        <v>181</v>
      </c>
      <c r="B19" s="113" t="s">
        <v>131</v>
      </c>
      <c r="E19" s="110" t="s">
        <v>182</v>
      </c>
      <c r="F19" s="31"/>
      <c r="G19" s="31"/>
      <c r="H19" s="32"/>
      <c r="I19" s="107" t="b">
        <v>0</v>
      </c>
    </row>
    <row r="20">
      <c r="E20" s="106" t="s">
        <v>183</v>
      </c>
      <c r="F20" s="31"/>
      <c r="G20" s="31"/>
      <c r="H20" s="32"/>
      <c r="I20" s="114" t="b">
        <v>0</v>
      </c>
    </row>
    <row r="21">
      <c r="A21" s="46"/>
      <c r="B21" s="46"/>
      <c r="C21" s="46"/>
      <c r="E21" s="115"/>
      <c r="F21" s="115"/>
      <c r="G21" s="115"/>
      <c r="H21" s="115"/>
    </row>
    <row r="22">
      <c r="A22" s="46"/>
      <c r="B22" s="46"/>
      <c r="C22" s="46"/>
      <c r="E22" s="115"/>
      <c r="F22" s="115"/>
      <c r="G22" s="115"/>
      <c r="H22" s="115"/>
    </row>
    <row r="23">
      <c r="A23" s="46"/>
      <c r="B23" s="46"/>
      <c r="C23" s="46"/>
      <c r="E23" s="115"/>
      <c r="F23" s="115"/>
      <c r="G23" s="115"/>
      <c r="H23" s="115"/>
    </row>
    <row r="24">
      <c r="A24" s="46"/>
      <c r="B24" s="46"/>
      <c r="C24" s="46"/>
      <c r="E24" s="115"/>
    </row>
    <row r="25">
      <c r="A25" s="116" t="s">
        <v>148</v>
      </c>
      <c r="B25" s="31"/>
      <c r="C25" s="32"/>
      <c r="E25" s="49" t="s">
        <v>149</v>
      </c>
      <c r="F25" s="50"/>
      <c r="G25" s="50"/>
      <c r="H25" s="50"/>
      <c r="I25" s="50"/>
      <c r="J25" s="50"/>
      <c r="K25" s="50"/>
      <c r="L25" s="51"/>
    </row>
    <row r="26" ht="42.75" customHeight="1">
      <c r="A26" s="52" t="s">
        <v>150</v>
      </c>
      <c r="B26" s="53">
        <f>COUNTA($B$2:$M$9)</f>
        <v>96</v>
      </c>
      <c r="C26" s="54" t="s">
        <v>184</v>
      </c>
      <c r="E26" s="55"/>
      <c r="F26" s="56"/>
      <c r="G26" s="56"/>
      <c r="H26" s="56"/>
      <c r="I26" s="56"/>
      <c r="J26" s="56"/>
      <c r="K26" s="56"/>
      <c r="L26" s="57"/>
    </row>
    <row r="27" ht="59.25" customHeight="1">
      <c r="A27" s="52" t="s">
        <v>152</v>
      </c>
      <c r="B27" s="58">
        <v>1.2</v>
      </c>
      <c r="C27" s="54" t="s">
        <v>153</v>
      </c>
      <c r="E27" s="59"/>
      <c r="L27" s="60"/>
    </row>
    <row r="28">
      <c r="E28" s="59"/>
      <c r="L28" s="60"/>
    </row>
    <row r="29">
      <c r="E29" s="59"/>
      <c r="L29" s="60"/>
    </row>
    <row r="30">
      <c r="A30" s="117" t="s">
        <v>154</v>
      </c>
      <c r="B30" s="25"/>
      <c r="C30" s="26"/>
      <c r="E30" s="59"/>
      <c r="L30" s="60"/>
    </row>
    <row r="31">
      <c r="A31" s="64" t="s">
        <v>185</v>
      </c>
      <c r="B31" s="65" t="s">
        <v>156</v>
      </c>
      <c r="C31" s="66" t="s">
        <v>157</v>
      </c>
      <c r="E31" s="59"/>
      <c r="L31" s="60"/>
    </row>
    <row r="32">
      <c r="A32" s="118" t="s">
        <v>175</v>
      </c>
      <c r="B32" s="119">
        <v>10.0</v>
      </c>
      <c r="C32" s="70">
        <f t="shared" ref="C32:C34" si="1">B32*$B$26*$B$27</f>
        <v>1152</v>
      </c>
      <c r="E32" s="59"/>
      <c r="L32" s="60"/>
    </row>
    <row r="33">
      <c r="A33" s="118" t="s">
        <v>186</v>
      </c>
      <c r="B33" s="119">
        <v>4.0</v>
      </c>
      <c r="C33" s="70">
        <f t="shared" si="1"/>
        <v>460.8</v>
      </c>
      <c r="E33" s="59"/>
      <c r="L33" s="60"/>
    </row>
    <row r="34">
      <c r="A34" s="118" t="s">
        <v>187</v>
      </c>
      <c r="B34" s="119">
        <v>1.0</v>
      </c>
      <c r="C34" s="70">
        <f t="shared" si="1"/>
        <v>115.2</v>
      </c>
      <c r="E34" s="59"/>
      <c r="L34" s="60"/>
    </row>
    <row r="35">
      <c r="A35" s="72" t="s">
        <v>161</v>
      </c>
      <c r="B35" s="120">
        <f t="shared" ref="B35:C35" si="2">sum(B32:B34)</f>
        <v>15</v>
      </c>
      <c r="C35" s="70">
        <f t="shared" si="2"/>
        <v>1728</v>
      </c>
      <c r="E35" s="59"/>
      <c r="L35" s="60"/>
    </row>
    <row r="36">
      <c r="A36" s="85" t="s">
        <v>162</v>
      </c>
      <c r="B36" s="86">
        <v>8.0</v>
      </c>
      <c r="C36" s="87">
        <f>C35/B36</f>
        <v>216</v>
      </c>
      <c r="E36" s="59"/>
      <c r="L36" s="60"/>
    </row>
    <row r="37">
      <c r="E37" s="59"/>
      <c r="L37" s="60"/>
    </row>
    <row r="38">
      <c r="E38" s="59"/>
      <c r="L38" s="60"/>
    </row>
    <row r="39">
      <c r="E39" s="59"/>
      <c r="L39" s="60"/>
    </row>
    <row r="40">
      <c r="E40" s="59"/>
      <c r="L40" s="60"/>
    </row>
    <row r="41">
      <c r="E41" s="59"/>
      <c r="L41" s="60"/>
    </row>
    <row r="42">
      <c r="A42" s="46"/>
      <c r="B42" s="46"/>
      <c r="C42" s="46"/>
      <c r="E42" s="88" t="s">
        <v>166</v>
      </c>
      <c r="F42" s="89"/>
      <c r="G42" s="89"/>
      <c r="H42" s="89"/>
      <c r="I42" s="89"/>
      <c r="J42" s="89"/>
      <c r="K42" s="89"/>
      <c r="L42" s="90"/>
    </row>
    <row r="43">
      <c r="A43" s="46"/>
      <c r="B43" s="46"/>
      <c r="C43" s="46"/>
    </row>
    <row r="44">
      <c r="A44" s="121"/>
      <c r="B44" s="122"/>
      <c r="C44" s="121"/>
    </row>
    <row r="45">
      <c r="A45" s="123"/>
      <c r="B45" s="124"/>
      <c r="C45" s="125"/>
    </row>
    <row r="46">
      <c r="A46" s="123"/>
      <c r="B46" s="124"/>
      <c r="C46" s="125"/>
    </row>
    <row r="47">
      <c r="A47" s="122"/>
      <c r="B47" s="121"/>
      <c r="C47" s="125"/>
    </row>
    <row r="48">
      <c r="A48" s="46"/>
      <c r="B48" s="46"/>
      <c r="C48" s="46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26" t="s">
        <v>188</v>
      </c>
    </row>
    <row r="3">
      <c r="A3" s="127" t="s">
        <v>189</v>
      </c>
    </row>
    <row r="4">
      <c r="A4" s="127" t="s">
        <v>190</v>
      </c>
    </row>
    <row r="5">
      <c r="A5" s="127" t="s">
        <v>191</v>
      </c>
    </row>
    <row r="6">
      <c r="A6" s="127" t="s">
        <v>192</v>
      </c>
    </row>
    <row r="7">
      <c r="A7" s="127" t="s">
        <v>193</v>
      </c>
    </row>
    <row r="8">
      <c r="A8" s="127" t="s">
        <v>194</v>
      </c>
    </row>
    <row r="9">
      <c r="A9" s="127" t="s">
        <v>195</v>
      </c>
    </row>
    <row r="10">
      <c r="A10" s="127" t="s">
        <v>196</v>
      </c>
    </row>
    <row r="11">
      <c r="A11" s="127" t="s">
        <v>197</v>
      </c>
    </row>
    <row r="12">
      <c r="A12" s="127" t="s">
        <v>198</v>
      </c>
    </row>
    <row r="13">
      <c r="A13" s="127" t="s">
        <v>199</v>
      </c>
    </row>
    <row r="14">
      <c r="A14" s="127" t="s">
        <v>200</v>
      </c>
    </row>
    <row r="15">
      <c r="A15" s="127" t="s">
        <v>201</v>
      </c>
    </row>
    <row r="16">
      <c r="A16" s="127" t="s">
        <v>202</v>
      </c>
    </row>
  </sheetData>
  <drawing r:id="rId1"/>
</worksheet>
</file>